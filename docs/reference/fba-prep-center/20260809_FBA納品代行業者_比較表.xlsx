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tabRatio="500" firstSheet="2" activeTab="3" autoFilterDateGrouping="1"/>
  </bookViews>
  <sheets>
    <sheet name="⚠️訂正について" sheetId="1" state="visible" r:id="rId1"/>
    <sheet name="就労支援系" sheetId="2" state="visible" r:id="rId2"/>
    <sheet name="一般物流系" sheetId="3" state="visible" r:id="rId3"/>
    <sheet name="総合比較" sheetId="4" state="visible" r:id="rId4"/>
    <sheet name="選び方の目安" sheetId="5" state="visible" r:id="rId5"/>
  </sheets>
  <definedNames/>
  <calcPr calcId="0" fullCalcOnLoad="1" iterate="1" iterateCount="1000" iterateDelta="0.01"/>
</workbook>
</file>

<file path=xl/styles.xml><?xml version="1.0" encoding="utf-8"?>
<styleSheet xmlns="http://schemas.openxmlformats.org/spreadsheetml/2006/main">
  <numFmts count="0"/>
  <fonts count="6">
    <font>
      <name val="Calibri"/>
      <color theme="1"/>
      <sz val="11"/>
      <scheme val="minor"/>
    </font>
    <font>
      <name val="Aptos Narrow"/>
      <b val="1"/>
      <color rgb="FFFFFFFF"/>
      <sz val="12"/>
    </font>
    <font>
      <name val="Aptos Narrow"/>
      <b val="1"/>
      <sz val="12"/>
    </font>
    <font>
      <name val="Calibri"/>
      <scheme val="minor"/>
    </font>
    <font>
      <name val="Calibri"/>
      <color theme="10"/>
      <u val="single"/>
      <scheme val="minor"/>
    </font>
    <font>
      <name val="Aptos Narrow"/>
      <b val="1"/>
      <sz val="14"/>
    </font>
  </fonts>
  <fills count="5">
    <fill>
      <patternFill/>
    </fill>
    <fill>
      <patternFill patternType="gray125"/>
    </fill>
    <fill>
      <patternFill patternType="solid">
        <fgColor rgb="FF4472C4"/>
      </patternFill>
    </fill>
    <fill>
      <patternFill patternType="solid">
        <fgColor rgb="FFF2F2F2"/>
      </patternFill>
    </fill>
    <fill>
      <patternFill patternType="solid">
        <fgColor rgb="FFFFC000"/>
      </patternFill>
    </fill>
  </fills>
  <borders count="6">
    <border>
      <left/>
      <right/>
      <top/>
      <bottom/>
    </border>
    <border>
      <left>
        <color rgb="FF000000"/>
      </left>
      <right>
        <color rgb="FF000000"/>
      </right>
      <top>
        <color rgb="FF000000"/>
      </top>
      <bottom>
        <color rgb="FF000000"/>
      </bottom>
    </border>
    <border>
      <left style="thin">
        <color rgb="FF000000"/>
      </left>
      <right style="thin">
        <color rgb="FF000000"/>
      </right>
      <top style="thin">
        <color rgb="FF000000"/>
      </top>
      <bottom style="thin">
        <color rgb="FF000000"/>
      </bottom>
    </border>
    <border>
      <left/>
      <right/>
      <top style="thin">
        <color rgb="FF000000"/>
      </top>
      <bottom/>
    </border>
    <border>
      <left/>
      <right style="thin">
        <color rgb="FF000000"/>
      </right>
      <top style="thin">
        <color rgb="FF000000"/>
      </top>
      <bottom/>
    </border>
    <border>
      <left/>
      <right style="thin">
        <color rgb="FF000000"/>
      </right>
      <top style="thin">
        <color rgb="FF000000"/>
      </top>
      <bottom style="thin">
        <color rgb="FF000000"/>
      </bottom>
    </border>
  </borders>
  <cellStyleXfs count="1">
    <xf numFmtId="0" fontId="0" fillId="0" borderId="1" applyAlignment="1">
      <alignment horizontal="general" vertical="top"/>
    </xf>
  </cellStyleXfs>
  <cellXfs count="12">
    <xf numFmtId="0" fontId="0" fillId="0" borderId="1" applyAlignment="1" pivotButton="0" quotePrefix="0" xfId="0">
      <alignment vertical="top"/>
    </xf>
    <xf numFmtId="0" fontId="1" fillId="2" borderId="2" applyAlignment="1" pivotButton="0" quotePrefix="0" xfId="0">
      <alignment horizontal="center" vertical="center"/>
    </xf>
    <xf numFmtId="0" fontId="2" fillId="0" borderId="2" applyAlignment="1" pivotButton="0" quotePrefix="0" xfId="0">
      <alignment vertical="top"/>
    </xf>
    <xf numFmtId="0" fontId="3" fillId="0" borderId="2" applyAlignment="1" pivotButton="0" quotePrefix="0" xfId="0">
      <alignment vertical="top"/>
    </xf>
    <xf numFmtId="0" fontId="4" fillId="0" borderId="2" applyAlignment="1" pivotButton="0" quotePrefix="0" xfId="0">
      <alignment vertical="top"/>
    </xf>
    <xf numFmtId="0" fontId="2" fillId="3" borderId="2" applyAlignment="1" pivotButton="0" quotePrefix="0" xfId="0">
      <alignment vertical="center"/>
    </xf>
    <xf numFmtId="0" fontId="3" fillId="0" borderId="2" applyAlignment="1" pivotButton="0" quotePrefix="0" xfId="0">
      <alignment vertical="center"/>
    </xf>
    <xf numFmtId="0" fontId="5" fillId="4" borderId="2" applyAlignment="1" pivotButton="0" quotePrefix="0" xfId="0">
      <alignment horizontal="center" vertical="center"/>
    </xf>
    <xf numFmtId="0" fontId="2" fillId="0" borderId="2" applyAlignment="1" pivotButton="0" quotePrefix="0" xfId="0">
      <alignment horizontal="center" vertical="top"/>
    </xf>
    <xf numFmtId="0" fontId="3" fillId="0" borderId="2" applyAlignment="1" pivotButton="0" quotePrefix="0" xfId="0">
      <alignment horizontal="left" vertical="top"/>
    </xf>
    <xf numFmtId="0" fontId="0" fillId="0" borderId="0" pivotButton="0" quotePrefix="0" xfId="0"/>
    <xf numFmtId="0" fontId="0" fillId="0" borderId="5"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fba.bplus-tokyo.com/" TargetMode="External" Id="rId1" /><Relationship Type="http://schemas.openxmlformats.org/officeDocument/2006/relationships/hyperlink" Target="http://fba.aptus-tokyo.co.jp/" TargetMode="External" Id="rId2" /><Relationship Type="http://schemas.openxmlformats.org/officeDocument/2006/relationships/hyperlink" Target="https://itoboshi.gekkou-company.jp/delivery-agency/" TargetMode="External" Id="rId3" /><Relationship Type="http://schemas.openxmlformats.org/officeDocument/2006/relationships/hyperlink" Target="https://taishinfba.com/" TargetMode="External" Id="rId4" /><Relationship Type="http://schemas.openxmlformats.org/officeDocument/2006/relationships/hyperlink" Target="https://joy-step.jp/request/" TargetMode="External" Id="rId5" /></Relationships>
</file>

<file path=xl/worksheets/_rels/sheet3.xml.rels><Relationships xmlns="http://schemas.openxmlformats.org/package/2006/relationships"><Relationship Type="http://schemas.openxmlformats.org/officeDocument/2006/relationships/hyperlink" Target="https://logex.jp/rakulogi-fba" TargetMode="External" Id="rId1" /><Relationship Type="http://schemas.openxmlformats.org/officeDocument/2006/relationships/hyperlink" Target="https://logisp.jp/" TargetMode="External" Id="rId2" /><Relationship Type="http://schemas.openxmlformats.org/officeDocument/2006/relationships/hyperlink" Target="https://imitsu.jp/list/logistics/fba-delivery-agency" TargetMode="External" Id="rId3" /><Relationship Type="http://schemas.openxmlformats.org/officeDocument/2006/relationships/hyperlink" Target="https://fujilogi.net/blogs/column/fujilogi-columnt-222" TargetMode="External" Id="rId4" /></Relationships>
</file>

<file path=xl/worksheets/sheet1.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cols>
    <col width="110" customWidth="1" style="10" min="1" max="1"/>
  </cols>
  <sheetData>
    <row r="1">
      <c r="A1" s="0" t="inlineStr">
        <is>
          <t>この表は 2026-08-26 に訂正されています</t>
        </is>
      </c>
    </row>
    <row r="2">
      <c r="A2" s="0" t="inlineStr"/>
    </row>
    <row r="3">
      <c r="A3" s="0" t="inlineStr">
        <is>
          <t>出典: Genspark AI Sheets が 2026-08-09 に生成した比較表（社長共有）。</t>
        </is>
      </c>
    </row>
    <row r="4">
      <c r="A4" s="0" t="inlineStr">
        <is>
          <t>2026-08-21 の公式サイト裏取り（T-20260821-010・サトル）で、公式と食い違う記載が9件見つかりました。</t>
        </is>
      </c>
    </row>
    <row r="5">
      <c r="A5" s="0" t="inlineStr">
        <is>
          <t>実在する企業についての誤った料金情報を公開し続けることになるため、社長ご判断「訂正して。」（2026-08-26）を受け、</t>
        </is>
      </c>
    </row>
    <row r="6">
      <c r="A6" s="0" t="inlineStr">
        <is>
          <t>誤りと確認できた値を削除し「【未確認】」に置き換えました（T-20260826-001・マリエ）。</t>
        </is>
      </c>
    </row>
    <row r="7">
      <c r="A7" s="0" t="inlineStr"/>
    </row>
    <row r="8">
      <c r="A8" s="0" t="inlineStr">
        <is>
          <t>削除のみで、推測による書き換えはしていません。</t>
        </is>
      </c>
    </row>
    <row r="9">
      <c r="A9" s="0" t="inlineStr">
        <is>
          <t>公式で確認済みの正しい値は下記にあります:</t>
        </is>
      </c>
    </row>
    <row r="10">
      <c r="A10" s="0" t="inlineStr">
        <is>
          <t xml:space="preserve">  workspace/output/deliverables/T-20260821-010/01_公式裏取りファクトシート.md （§4-1）</t>
        </is>
      </c>
    </row>
    <row r="11">
      <c r="A11" s="0" t="inlineStr">
        <is>
          <t>訂正の一覧と根拠は docs/reference/fba-prep-center/README.md を参照してください。</t>
        </is>
      </c>
    </row>
    <row r="12">
      <c r="A12" s="0" t="inlineStr"/>
    </row>
    <row r="13">
      <c r="A13" s="0" t="inlineStr">
        <is>
          <t>この表の値をそのまま判断に使わないでください。正しい値が必要な場合はリサーチャー（サトル）による</t>
        </is>
      </c>
    </row>
    <row r="14">
      <c r="A14" s="0" t="inlineStr">
        <is>
          <t>公式サイトの再取得が必要です。</t>
        </is>
      </c>
    </row>
    <row r="16">
      <c r="A16" t="inlineStr">
        <is>
          <t>2026-09-29〜30 再調査（T-20260929-001・サトル）：【未確認】にしていた箇所を各社公式サイトの現在値で埋めました。びーぷらすの荷受確認は2026-08-24に10円→30円へ改定されていたため修正。新規5社を含む最新の比較は workspace/output/deliverables/T-20260929-001/01_FBA納品代行_公式値ファクトシート.md を参照してください。</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
  <sheetViews>
    <sheetView topLeftCell="A1" workbookViewId="0">
      <selection activeCell="A1" sqref="A1"/>
    </sheetView>
  </sheetViews>
  <sheetFormatPr baseColWidth="8" defaultColWidth="8.8515625" defaultRowHeight="15" customHeight="1"/>
  <cols>
    <col width="20.57421875" customWidth="1" style="10" min="1" max="2"/>
    <col width="62.8515625" customWidth="1" style="10" min="3" max="3"/>
    <col width="34.28125" customWidth="1" style="10" min="4" max="4"/>
    <col width="28.57421875" customWidth="1" style="10" min="5" max="5"/>
    <col width="57.140625" customWidth="1" style="10" min="6" max="6"/>
    <col width="51.421875" customWidth="1" style="10" min="7" max="7"/>
  </cols>
  <sheetData>
    <row r="1" ht="22.5" customHeight="1" s="10">
      <c r="A1" s="1" t="inlineStr">
        <is>
          <t>業者・事業所名</t>
        </is>
      </c>
      <c r="B1" s="1" t="inlineStr">
        <is>
          <t>型</t>
        </is>
      </c>
      <c r="C1" s="1" t="inlineStr">
        <is>
          <t>主な料金（税別）</t>
        </is>
      </c>
      <c r="D1" s="1" t="inlineStr">
        <is>
          <t>月額・初期費</t>
        </is>
      </c>
      <c r="E1" s="1" t="inlineStr">
        <is>
          <t>拠点</t>
        </is>
      </c>
      <c r="F1" s="1" t="inlineStr">
        <is>
          <t>特徴</t>
        </is>
      </c>
      <c r="G1" s="1" t="inlineStr">
        <is>
          <t>URL</t>
        </is>
      </c>
    </row>
    <row r="2" ht="67.5" customHeight="1" s="10">
      <c r="A2" s="2" t="inlineStr">
        <is>
          <t>びーぷらすFBA</t>
        </is>
      </c>
      <c r="B2" s="3" t="inlineStr">
        <is>
          <t>B型</t>
        </is>
      </c>
      <c r="C2" s="3" t="inlineStr">
        <is>
          <t>ラベル貼り10円/個、荷受確認30円/SKU（2026-08-24改定・旧10円）、納品代行手数料300円/箱（〜15kg）・400円/箱（〜25kg）、納品プラン作成10円/SKU、商品登録50円/SKU、物価対応調整金5%（全額に加算）〔公式・2026-09-29取得／T-20260929-001〕</t>
        </is>
      </c>
      <c r="D2" s="3" t="inlineStr">
        <is>
          <t>なし</t>
        </is>
      </c>
      <c r="E2" s="3" t="inlineStr">
        <is>
          <t>東京・杉並</t>
        </is>
      </c>
      <c r="F2" s="3" t="inlineStr">
        <is>
          <t>セット組40〜50円、詳細検品20円、簡易検品無料。リサイクル段ボール無料。ChatWork＋Googleスプレッドシートで運用（「月間2万点以上の実績」は公式に記載なし）〔公式・2026-09-29取得／T-20260929-001〕</t>
        </is>
      </c>
      <c r="G2" s="4">
        <f>HYPERLINK("http://fba.bplus-tokyo.com/","http://fba.bplus-tokyo.com/")</f>
        <v/>
      </c>
    </row>
    <row r="3" ht="67.5" customHeight="1" s="10">
      <c r="A3" s="2" t="inlineStr">
        <is>
          <t>おりおんFBA</t>
        </is>
      </c>
      <c r="B3" s="3" t="inlineStr">
        <is>
          <t>A型</t>
        </is>
      </c>
      <c r="C3" s="3" t="inlineStr">
        <is>
          <t>ラベル貼り11円/個、荷受確認22円/SKU、納品代行手数料370円/箱（〜10kg）・480円（〜15kg）・590円（〜20kg）・700円（〜25kg）、納品プラン作成55円/SKU</t>
        </is>
      </c>
      <c r="D3" s="3" t="inlineStr">
        <is>
          <t>なし</t>
        </is>
      </c>
      <c r="E3" s="3" t="inlineStr">
        <is>
          <t>東京・立川</t>
        </is>
      </c>
      <c r="F3" s="3" t="inlineStr">
        <is>
          <t>画像撮影30円/枚、サイズ計測30円/点、シール剥がし30円/点などオプションが細かい。個人宛発送・自己配送も可</t>
        </is>
      </c>
      <c r="G3" s="4">
        <f>HYPERLINK("http://fba.aptus-tokyo.co.jp/","http://fba.aptus-tokyo.co.jp/")</f>
        <v/>
      </c>
    </row>
    <row r="4" ht="67.5" customHeight="1" s="10">
      <c r="A4" s="2" t="inlineStr">
        <is>
          <t>糸星</t>
        </is>
      </c>
      <c r="B4" s="3" t="inlineStr">
        <is>
          <t>B型</t>
        </is>
      </c>
      <c r="C4" s="3" t="inlineStr">
        <is>
          <t>単品50円/点、大型150円/点、セット費+15円〜（種類数で変動）、自己発送手数料100円/件</t>
        </is>
      </c>
      <c r="D4" s="3" t="inlineStr">
        <is>
          <t>パレット保管3,000円/月（荷受に必須と公式明記・契約初月1パレット無料・月500点以上で1枚目無料）＋任意プランA500/B1,500/C5,000円/月。初期費用は公式に記載なし〔公式・2026-09-29取得／T-20260929-001〕</t>
        </is>
      </c>
      <c r="E4" s="3" t="inlineStr">
        <is>
          <t>愛知</t>
        </is>
      </c>
      <c r="F4" s="3" t="inlineStr">
        <is>
          <t>セラーセントラル権限付与（4権限）で納品プラン作成まで代行。納品目安は公式内で表記ゆれ（本文「荷受けから2営業日以内」／FAQ「2〜3営業日以内」）〔公式・2026-09-29取得／T-20260929-001〕</t>
        </is>
      </c>
      <c r="G4" s="4">
        <f>HYPERLINK("https://itoboshi.gekkou-company.jp/delivery-agency/","https://itoboshi.gekkou-company.jp/delivery-agency/")</f>
        <v/>
      </c>
    </row>
    <row r="5" ht="67.5" customHeight="1" s="10">
      <c r="A5" s="2" t="inlineStr">
        <is>
          <t>タイシンFBA</t>
        </is>
      </c>
      <c r="B5" s="3" t="inlineStr">
        <is>
          <t>斡旋型（複数施設）</t>
        </is>
      </c>
      <c r="C5" s="3" t="inlineStr">
        <is>
          <t>1点31.5円〜（検品・ラベル・箱詰・出荷コミコミ）、セット組52.5円〜、ラベル貼り25円/個、出荷梱包料250円/箱、納品プラン作成150円/出荷</t>
        </is>
      </c>
      <c r="D5" s="3" t="inlineStr">
        <is>
          <t>月額・登録料なし。保証金50,000円（取引終了時に全額返還）。滞留在庫が多い場合はスペース使用料2,000円/月〔公式・2026-09-29取得／T-20260929-001〕</t>
        </is>
      </c>
      <c r="E5" s="3" t="inlineStr">
        <is>
          <t>東京・神奈川・埼玉・仙台・大阪（計13事業所）</t>
        </is>
      </c>
      <c r="F5" s="3" t="inlineStr">
        <is>
          <t>2018年から施設への指導・品質管理・工程管理込み。月間3万点の取扱実績。在庫スペースは別途2,000円/月。初めての委託に向く</t>
        </is>
      </c>
      <c r="G5" s="4">
        <f>HYPERLINK("https://taishinfba.com/","https://taishinfba.com/")</f>
        <v/>
      </c>
    </row>
    <row r="6" ht="67.5" customHeight="1" s="10">
      <c r="A6" s="2" t="inlineStr">
        <is>
          <t>ほっこりーな博多</t>
        </is>
      </c>
      <c r="B6" s="3" t="inlineStr">
        <is>
          <t>B型</t>
        </is>
      </c>
      <c r="C6" s="3" t="inlineStr">
        <is>
          <t>見積制（公式の料金PDFは「表示確認用サンプル」と明示）〔公式・2026-09-29取得／T-20260929-001〕</t>
        </is>
      </c>
      <c r="D6" s="3" t="inlineStr">
        <is>
          <t>月額固定費・登録料なし。最低利用数量・期間の縛りなし（公式FAQ）〔公式・2026-09-29取得／T-20260929-001〕</t>
        </is>
      </c>
      <c r="E6" s="3" t="inlineStr">
        <is>
          <t>福岡</t>
        </is>
      </c>
      <c r="F6" s="3" t="inlineStr">
        <is>
          <t>OPP袋詰め・ラベル貼り・開梱検品・出荷準備など軽作業全般。九州エリアの候補</t>
        </is>
      </c>
      <c r="G6" s="4">
        <f>HYPERLINK("https://www.hakata-b-logi.jp/guide/","https://www.hakata-b-logi.jp/guide/")</f>
        <v/>
      </c>
    </row>
  </sheetData>
  <hyperlinks>
    <hyperlink xmlns:r="http://schemas.openxmlformats.org/officeDocument/2006/relationships" ref="G2" display="http://fba.bplus-tokyo.com/" r:id="rId1"/>
    <hyperlink xmlns:r="http://schemas.openxmlformats.org/officeDocument/2006/relationships" ref="G3" display="http://fba.aptus-tokyo.co.jp/" r:id="rId2"/>
    <hyperlink xmlns:r="http://schemas.openxmlformats.org/officeDocument/2006/relationships" ref="G4" display="https://itoboshi.gekkou-company.jp/delivery-agency/" r:id="rId3"/>
    <hyperlink xmlns:r="http://schemas.openxmlformats.org/officeDocument/2006/relationships" ref="G5" display="https://taishinfba.com/" r:id="rId4"/>
    <hyperlink xmlns:r="http://schemas.openxmlformats.org/officeDocument/2006/relationships" ref="G6" display="https://joy-step.jp/request/" r:id="rId5"/>
  </hyperlinks>
  <pageMargins left="0.7" right="0.7" top="0.75" bottom="0.75" header="0.3" footer="0.3"/>
  <pageSetup orientation="portrait" paperSize="1"/>
  <headerFooter>
    <oddHeader>&amp;L&amp;C&amp;R</oddHeader>
    <oddFooter>&amp;L&amp;C&amp;R</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E5"/>
  <sheetViews>
    <sheetView topLeftCell="A1" workbookViewId="0">
      <selection activeCell="A1" sqref="A1"/>
    </sheetView>
  </sheetViews>
  <sheetFormatPr baseColWidth="8" defaultColWidth="8.8515625" defaultRowHeight="15" customHeight="1"/>
  <cols>
    <col width="22.8515625" customWidth="1" style="10" min="1" max="1"/>
    <col width="62.8515625" customWidth="1" style="10" min="2" max="2"/>
    <col width="51.421875" customWidth="1" style="10" min="3" max="3"/>
    <col width="57.140625" customWidth="1" style="10" min="4" max="4"/>
    <col width="62.8515625" customWidth="1" style="10" min="5" max="5"/>
  </cols>
  <sheetData>
    <row r="1" ht="22.5" customHeight="1" s="10">
      <c r="A1" s="1" t="inlineStr">
        <is>
          <t>業者名</t>
        </is>
      </c>
      <c r="B1" s="1" t="inlineStr">
        <is>
          <t>主な料金</t>
        </is>
      </c>
      <c r="C1" s="1" t="inlineStr">
        <is>
          <t>月額・初期費</t>
        </is>
      </c>
      <c r="D1" s="1" t="inlineStr">
        <is>
          <t>特徴</t>
        </is>
      </c>
      <c r="E1" s="1" t="inlineStr">
        <is>
          <t>URL</t>
        </is>
      </c>
    </row>
    <row r="2" ht="56.25" customHeight="1" s="10">
      <c r="A2" s="2" t="inlineStr">
        <is>
          <t>ラクロジ</t>
        </is>
      </c>
      <c r="B2" s="3" t="inlineStr">
        <is>
          <t>単品40円/点（検品・シール貼り含む）、セット80円、要期限・危険物+10円、大型100円。配送料（参考・税別・西濃）60サイズ45円〜／100サイズ200円〜／140サイズ550円〜〔公式・2026-09-29取得／T-20260929-001〕</t>
        </is>
      </c>
      <c r="C2" s="3" t="inlineStr">
        <is>
          <t>月額2,000円（全ユーザー）＋代行手数料が月5,000円未満の場合+3,000円（公式料金表の表記）。保管料は原則無料・30日間無料。初期費用は公式に記載なし〔公式・2026-09-29取得／T-20260929-001〕</t>
        </is>
      </c>
      <c r="D2" s="3" t="inlineStr">
        <is>
          <t>Amazon・楽天・Yahoo!対応。中国輸入商品の取扱実績あり。納品システム完備</t>
        </is>
      </c>
      <c r="E2" s="4">
        <f>HYPERLINK("https://logex.jp/rakulogi-fba","https://logex.jp/rakulogi-fba")</f>
        <v/>
      </c>
    </row>
    <row r="3" ht="56.25" customHeight="1" s="10">
      <c r="A3" s="2" t="inlineStr">
        <is>
          <t>ロジスピ</t>
        </is>
      </c>
      <c r="B3" s="3" t="inlineStr">
        <is>
          <t>公式掲載は保管料4.5円/1,000cm³/月、ネコポス290円、60サイズ590円、80サイズ680円、FBA/RSL納品690円（単位の記載なし）のみ。他は見積制〔公式・2026-09-29取得／T-20260929-001〕</t>
        </is>
      </c>
      <c r="C3" s="3" t="inlineStr">
        <is>
          <t>公式に月額・初期費の記載なし（「初期2,020円・月額2,020円」は公式で確認できず）〔公式・2026-09-29取得／T-20260929-001〕</t>
        </is>
      </c>
      <c r="D3" s="3" t="inlineStr">
        <is>
          <t>出品作業から発送まで一貫対応。FBA自動納品機能・システム連携オプションあり</t>
        </is>
      </c>
      <c r="E3" s="4">
        <f>HYPERLINK("https://logisp.jp/","https://logisp.jp/")</f>
        <v/>
      </c>
    </row>
    <row r="4" ht="56.25" customHeight="1" s="10">
      <c r="A4" s="2" t="inlineStr">
        <is>
          <t>ユニストック</t>
        </is>
      </c>
      <c r="B4" s="3" t="inlineStr">
        <is>
          <t>FBA代行手数料100円/点（納品プラン作成・入荷・検品・ラベル出力/貼付・ピッキング・梱包込み）、同梱物封入10円/枚、セット組30円/セット〔公式・2026-09-29取得／T-20260929-001〕</t>
        </is>
      </c>
      <c r="C4" s="3" t="inlineStr">
        <is>
          <t>月額5,000円。初期費用は公式に記載なし〔公式・2026-09-29取得／T-20260929-001〕</t>
        </is>
      </c>
      <c r="D4" s="3" t="inlineStr">
        <is>
          <t>福岡市中央区。中古不可・温度管理品不可。出荷指示から中2〜3営業日（「大規模運用向き」は公式に記載なし）〔公式・2026-09-29取得／T-20260929-001〕</t>
        </is>
      </c>
      <c r="E4" s="4">
        <f>HYPERLINK("https://unistock.co.jp/fba_deliveryagency/","https://unistock.co.jp/fba_deliveryagency/")</f>
        <v/>
      </c>
    </row>
    <row r="5" ht="56.25" customHeight="1" s="10">
      <c r="A5" s="2" t="inlineStr">
        <is>
          <t>FBA代行センター</t>
        </is>
      </c>
      <c r="B5" s="3" t="inlineStr">
        <is>
          <t>新品通常100円/点・大型200円/点（一般会員・税抜。検品・値札剥がし・クリーニング・出品登録/納品プラン作成・ラベル貼り・FC発送手配込み）、荷受50円/箱、セット梱包 小200円/大400円。FC送料 関東620〜2,280円／東海関西870〜2,810円／九州1,120〜4,650円（〜100〜200サイズ）、パートナーキャリア利用時+200円〔公式・2026-09-29取得／T-20260929-001〕</t>
        </is>
      </c>
      <c r="C5" s="3" t="inlineStr">
        <is>
          <t>一般会員 無料／プレミアム会員4,900円/月。大口契約のみ利用可（小口不可）〔公式・2026-09-29取得／T-20260929-001〕</t>
        </is>
      </c>
      <c r="D5" s="3" t="inlineStr">
        <is>
          <t>埼玉。中古品対応可。納品書・領収書の返送500円/回〔公式・2026-09-29取得／T-20260929-001〕</t>
        </is>
      </c>
      <c r="E5" s="4">
        <f>HYPERLINK("https://amazon-fbadaikou.jp/price/","https://amazon-fbadaikou.jp/price/")</f>
        <v/>
      </c>
    </row>
  </sheetData>
  <hyperlinks>
    <hyperlink xmlns:r="http://schemas.openxmlformats.org/officeDocument/2006/relationships" ref="E2" display="https://logex.jp/rakulogi-fba" r:id="rId1"/>
    <hyperlink xmlns:r="http://schemas.openxmlformats.org/officeDocument/2006/relationships" ref="E3" display="https://logisp.jp/" r:id="rId2"/>
    <hyperlink xmlns:r="http://schemas.openxmlformats.org/officeDocument/2006/relationships" ref="E4" display="https://imitsu.jp/list/logistics/fba-delivery-agency" r:id="rId3"/>
    <hyperlink xmlns:r="http://schemas.openxmlformats.org/officeDocument/2006/relationships" ref="E5" display="https://fujilogi.net/blogs/column/fujilogi-columnt-222" r:id="rId4"/>
  </hyperlinks>
  <pageMargins left="0.7" right="0.7" top="0.75" bottom="0.75" header="0.3" footer="0.3"/>
  <pageSetup orientation="portrait" paperSize="1"/>
  <headerFooter>
    <oddHeader>&amp;L&amp;C&amp;R</oddHeader>
    <oddFooter>&amp;L&amp;C&amp;R</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C7"/>
  <sheetViews>
    <sheetView topLeftCell="A1" workbookViewId="0">
      <selection activeCell="A1" sqref="A1"/>
    </sheetView>
  </sheetViews>
  <sheetFormatPr baseColWidth="8" defaultColWidth="8.8515625" defaultRowHeight="15" customHeight="1"/>
  <cols>
    <col width="22.8515625" customWidth="1" style="10" min="1" max="1"/>
    <col width="51.421875" customWidth="1" style="10" min="2" max="3"/>
  </cols>
  <sheetData>
    <row r="1" ht="22.5" customHeight="1" s="10">
      <c r="A1" s="1" t="inlineStr">
        <is>
          <t>観点</t>
        </is>
      </c>
      <c r="B1" s="1" t="inlineStr">
        <is>
          <t>就労支援系</t>
        </is>
      </c>
      <c r="C1" s="1" t="inlineStr">
        <is>
          <t>一般物流系</t>
        </is>
      </c>
    </row>
    <row r="2" ht="30" customHeight="1" s="10">
      <c r="A2" s="5" t="inlineStr">
        <is>
          <t>単価</t>
        </is>
      </c>
      <c r="B2" s="6" t="inlineStr">
        <is>
          <t>10〜50円/点と圧倒的に安い</t>
        </is>
      </c>
      <c r="C2" s="6" t="inlineStr">
        <is>
          <t>40〜100円/点が相場</t>
        </is>
      </c>
    </row>
    <row r="3" ht="30" customHeight="1" s="10">
      <c r="A3" s="5" t="inlineStr">
        <is>
          <t>月額固定費</t>
        </is>
      </c>
      <c r="B3" s="6" t="inlineStr">
        <is>
          <t>事業者ごとに異なる。びーぷらす・おりおん・Hakata B-Logi＝月額なし／糸星＝パレット3,000円/月が荷受に必須／タイシン＝月額なしだが保証金5万円（返還）〔公式・2026-09-29取得／T-20260929-001〕</t>
        </is>
      </c>
      <c r="C3" s="6" t="inlineStr">
        <is>
          <t>0〜1万円程度かかることが多い</t>
        </is>
      </c>
    </row>
    <row r="4" ht="30" customHeight="1" s="10">
      <c r="A4" s="5" t="inlineStr">
        <is>
          <t>納品スピード</t>
        </is>
      </c>
      <c r="B4" s="6" t="inlineStr">
        <is>
          <t>2〜3営業日が標準（事業者ごとに異なります。個別の日数は公式FAQを確認してください）</t>
        </is>
      </c>
      <c r="C4" s="6" t="inlineStr">
        <is>
          <t>システム化され早いことが多い</t>
        </is>
      </c>
    </row>
    <row r="5" ht="30" customHeight="1" s="10">
      <c r="A5" s="5" t="inlineStr">
        <is>
          <t>対応の柔軟さ</t>
        </is>
      </c>
      <c r="B5" s="6" t="inlineStr">
        <is>
          <t>複雑作業・特殊要望は施設による</t>
        </is>
      </c>
      <c r="C5" s="6" t="inlineStr">
        <is>
          <t>標準化された業務フローで安定</t>
        </is>
      </c>
    </row>
    <row r="6" ht="30" customHeight="1" s="10">
      <c r="A6" s="5" t="inlineStr">
        <is>
          <t>社会貢献性</t>
        </is>
      </c>
      <c r="B6" s="6" t="inlineStr">
        <is>
          <t>障害者雇用創出に直結</t>
        </is>
      </c>
      <c r="C6" s="6" t="inlineStr">
        <is>
          <t>なし</t>
        </is>
      </c>
    </row>
    <row r="7" ht="30" customHeight="1" s="10">
      <c r="A7" s="5" t="inlineStr">
        <is>
          <t>向く人</t>
        </is>
      </c>
      <c r="B7" s="6" t="inlineStr">
        <is>
          <t>コスト重視・定型作業中心・中〜小規模</t>
        </is>
      </c>
      <c r="C7" s="6" t="inlineStr">
        <is>
          <t>スピード・システム連携重視・大規模</t>
        </is>
      </c>
    </row>
  </sheetData>
  <pageMargins left="0.7" right="0.7" top="0.75" bottom="0.75" header="0.3" footer="0.3"/>
  <pageSetup orientation="portrait" paperSize="1"/>
  <headerFooter>
    <oddHeader>&amp;L&amp;C&amp;R</oddHeader>
    <oddFooter>&amp;L&amp;C&amp;R</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B13"/>
  <sheetViews>
    <sheetView tabSelected="1" topLeftCell="A1" workbookViewId="0">
      <selection activeCell="A1" sqref="A1"/>
    </sheetView>
  </sheetViews>
  <sheetFormatPr baseColWidth="8" defaultColWidth="8.8515625" defaultRowHeight="15" customHeight="1"/>
  <cols>
    <col width="40.00390625" customWidth="1" style="10" min="1" max="1"/>
    <col width="51.421875" customWidth="1" style="10" min="2" max="2"/>
  </cols>
  <sheetData>
    <row r="1" ht="22.5" customHeight="1" s="10">
      <c r="A1" s="1" t="inlineStr">
        <is>
          <t>あなたの条件</t>
        </is>
      </c>
      <c r="B1" s="1" t="inlineStr">
        <is>
          <t>推奨候補</t>
        </is>
      </c>
    </row>
    <row r="2" ht="26.25" customHeight="1" s="10">
      <c r="A2" s="6" t="inlineStr">
        <is>
          <t>とにかく単価最安・定型作業</t>
        </is>
      </c>
      <c r="B2" s="6" t="inlineStr">
        <is>
          <t>びーぷらすFBA（10円/個〜）</t>
        </is>
      </c>
    </row>
    <row r="3" ht="26.25" customHeight="1" s="10">
      <c r="A3" s="6" t="inlineStr">
        <is>
          <t>雇用契約型で安定稼働を求める</t>
        </is>
      </c>
      <c r="B3" s="6" t="inlineStr">
        <is>
          <t>おりおんFBA（A型）</t>
        </is>
      </c>
    </row>
    <row r="4" ht="26.25" customHeight="1" s="10">
      <c r="A4" s="6" t="inlineStr">
        <is>
          <t>初めてで品質が不安</t>
        </is>
      </c>
      <c r="B4" s="6" t="inlineStr">
        <is>
          <t>タイシンFBA（指導・管理込み）</t>
        </is>
      </c>
    </row>
    <row r="5" ht="26.25" customHeight="1" s="10">
      <c r="A5" s="6" t="inlineStr">
        <is>
          <t>中国輸入や複数モール対応</t>
        </is>
      </c>
      <c r="B5" s="6" t="inlineStr">
        <is>
          <t>ラクロジ</t>
        </is>
      </c>
    </row>
    <row r="6" ht="26.25" customHeight="1" s="10">
      <c r="A6" s="6" t="inlineStr">
        <is>
          <t>月額を払ってでも自動化したい</t>
        </is>
      </c>
      <c r="B6" s="6" t="inlineStr">
        <is>
          <t>ロジスピ</t>
        </is>
      </c>
    </row>
    <row r="7" ht="26.25" customHeight="1" s="10">
      <c r="A7" s="6" t="inlineStr">
        <is>
          <t>愛知・九州など地方拠点が良い</t>
        </is>
      </c>
      <c r="B7" s="6" t="inlineStr">
        <is>
          <t>糸星（愛知）／ほっこりーな博多（福岡）</t>
        </is>
      </c>
    </row>
    <row r="9" ht="22.5" customHeight="1" s="10">
      <c r="A9" s="7" t="inlineStr">
        <is>
          <t>■ 比較時の注意</t>
        </is>
      </c>
      <c r="B9" s="11" t="n"/>
    </row>
    <row r="10" ht="45" customHeight="1" s="10">
      <c r="A10" s="8" t="n">
        <v>1</v>
      </c>
      <c r="B10" s="9" t="inlineStr">
        <is>
          <t>表の単価は「ラベル貼りだけ」の数字と「検品・箱詰・出荷コミコミ」の数字が混在しています。必ず「商品1点が施設に届いてからFBA倉庫に発送されるまでの総額（着地コスト）」で見積もりを取り比較してください。</t>
        </is>
      </c>
    </row>
    <row r="11" ht="45" customHeight="1" s="10">
      <c r="A11" s="8" t="n">
        <v>2</v>
      </c>
      <c r="B11" s="9" t="inlineStr">
        <is>
          <t>料金は2026年8月時点の公開情報ベースです。変動するため依頼前に必ず最新見積もりを確認してください。</t>
        </is>
      </c>
    </row>
    <row r="12" ht="45" customHeight="1" s="10">
      <c r="A12" s="8" t="n">
        <v>3</v>
      </c>
      <c r="B12" s="9" t="inlineStr">
        <is>
          <t>契約前には小ロット（30〜100点）の有償テストを推奨します。</t>
        </is>
      </c>
    </row>
    <row r="13" ht="45" customHeight="1" s="10">
      <c r="A13" s="8" t="n">
        <v>4</v>
      </c>
      <c r="B13" s="9" t="inlineStr">
        <is>
          <t>誤ラベル・破損時の補填条件、保管料、送料負担の有無は必ず個別確認してください。</t>
        </is>
      </c>
    </row>
  </sheetData>
  <mergeCells count="1">
    <mergeCell ref="A9:B9"/>
  </mergeCells>
  <pageMargins left="0.7" right="0.7" top="0.75" bottom="0.75" header="0.3" footer="0.3"/>
  <pageSetup orientation="portrait" paperSize="1"/>
  <headerFooter>
    <oddHeader>&amp;L&amp;C&amp;R</oddHeader>
    <oddFooter>&amp;L&amp;C&amp;R</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2026-08-09T14:01:53Z</dcterms:created>
  <dcterms:modified xsi:type="dcterms:W3CDTF">2026-09-29T15:05:00Z</dcterms:modified>
</cp:coreProperties>
</file>