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500" firstSheet="2" activeTab="3" autoFilterDateGrouping="1"/>
  </bookViews>
  <sheets>
    <sheet name="⚠️訂正について" sheetId="1" state="visible" r:id="rId1"/>
    <sheet name="就労支援系" sheetId="2" state="visible" r:id="rId2"/>
    <sheet name="一般物流系" sheetId="3" state="visible" r:id="rId3"/>
    <sheet name="総合比較" sheetId="4" state="visible" r:id="rId4"/>
    <sheet name="選び方の目安" sheetId="5" state="visible" r:id="rId5"/>
  </sheets>
  <definedNames/>
  <calcPr calcId="0" fullCalcOnLoad="1" iterate="1" iterateCount="1000" iterateDelta="0.01"/>
</workbook>
</file>

<file path=xl/styles.xml><?xml version="1.0" encoding="utf-8"?>
<styleSheet xmlns="http://schemas.openxmlformats.org/spreadsheetml/2006/main">
  <numFmts count="0"/>
  <fonts count="6">
    <font>
      <name val="Calibri"/>
      <color theme="1"/>
      <sz val="11"/>
      <scheme val="minor"/>
    </font>
    <font>
      <name val="Aptos Narrow"/>
      <b val="1"/>
      <color rgb="FFFFFFFF"/>
      <sz val="12"/>
    </font>
    <font>
      <name val="Aptos Narrow"/>
      <b val="1"/>
      <sz val="12"/>
    </font>
    <font>
      <name val="Calibri"/>
      <scheme val="minor"/>
    </font>
    <font>
      <name val="Calibri"/>
      <color theme="10"/>
      <u val="single"/>
      <scheme val="minor"/>
    </font>
    <font>
      <name val="Aptos Narrow"/>
      <b val="1"/>
      <sz val="14"/>
    </font>
  </fonts>
  <fills count="5">
    <fill>
      <patternFill/>
    </fill>
    <fill>
      <patternFill patternType="gray125"/>
    </fill>
    <fill>
      <patternFill patternType="solid">
        <fgColor rgb="FF4472C4"/>
      </patternFill>
    </fill>
    <fill>
      <patternFill patternType="solid">
        <fgColor rgb="FFF2F2F2"/>
      </patternFill>
    </fill>
    <fill>
      <patternFill patternType="solid">
        <fgColor rgb="FFFFC000"/>
      </patternFill>
    </fill>
  </fills>
  <borders count="6">
    <border>
      <left/>
      <right/>
      <top/>
      <bottom/>
    </border>
    <border>
      <left>
        <color rgb="FF000000"/>
      </left>
      <right>
        <color rgb="FF000000"/>
      </right>
      <top>
        <color rgb="FF000000"/>
      </top>
      <bottom>
        <color rgb="FF000000"/>
      </bottom>
    </border>
    <border>
      <left style="thin">
        <color rgb="FF000000"/>
      </left>
      <right style="thin">
        <color rgb="FF000000"/>
      </right>
      <top style="thin">
        <color rgb="FF000000"/>
      </top>
      <bottom style="thin">
        <color rgb="FF000000"/>
      </bottom>
    </border>
    <border>
      <left/>
      <right/>
      <top style="thin">
        <color rgb="FF000000"/>
      </top>
      <bottom/>
    </border>
    <border>
      <left/>
      <right style="thin">
        <color rgb="FF000000"/>
      </right>
      <top style="thin">
        <color rgb="FF000000"/>
      </top>
      <bottom/>
    </border>
    <border>
      <left/>
      <right style="thin">
        <color rgb="FF000000"/>
      </right>
      <top style="thin">
        <color rgb="FF000000"/>
      </top>
      <bottom style="thin">
        <color rgb="FF000000"/>
      </bottom>
    </border>
  </borders>
  <cellStyleXfs count="1">
    <xf numFmtId="0" fontId="0" fillId="0" borderId="1" applyAlignment="1">
      <alignment horizontal="general" vertical="top"/>
    </xf>
  </cellStyleXfs>
  <cellXfs count="12">
    <xf numFmtId="0" fontId="0" fillId="0" borderId="1" applyAlignment="1" pivotButton="0" quotePrefix="0" xfId="0">
      <alignment vertical="top"/>
    </xf>
    <xf numFmtId="0" fontId="1" fillId="2" borderId="2" applyAlignment="1" pivotButton="0" quotePrefix="0" xfId="0">
      <alignment horizontal="center" vertical="center"/>
    </xf>
    <xf numFmtId="0" fontId="2" fillId="0" borderId="2" applyAlignment="1" pivotButton="0" quotePrefix="0" xfId="0">
      <alignment vertical="top"/>
    </xf>
    <xf numFmtId="0" fontId="3" fillId="0" borderId="2" applyAlignment="1" pivotButton="0" quotePrefix="0" xfId="0">
      <alignment vertical="top"/>
    </xf>
    <xf numFmtId="0" fontId="4" fillId="0" borderId="2" applyAlignment="1" pivotButton="0" quotePrefix="0" xfId="0">
      <alignment vertical="top"/>
    </xf>
    <xf numFmtId="0" fontId="2" fillId="3" borderId="2" applyAlignment="1" pivotButton="0" quotePrefix="0" xfId="0">
      <alignment vertical="center"/>
    </xf>
    <xf numFmtId="0" fontId="3" fillId="0" borderId="2" applyAlignment="1" pivotButton="0" quotePrefix="0" xfId="0">
      <alignment vertical="center"/>
    </xf>
    <xf numFmtId="0" fontId="5" fillId="4" borderId="2" applyAlignment="1" pivotButton="0" quotePrefix="0" xfId="0">
      <alignment horizontal="center" vertical="center"/>
    </xf>
    <xf numFmtId="0" fontId="2" fillId="0" borderId="2" applyAlignment="1" pivotButton="0" quotePrefix="0" xfId="0">
      <alignment horizontal="center" vertical="top"/>
    </xf>
    <xf numFmtId="0" fontId="3" fillId="0" borderId="2" applyAlignment="1" pivotButton="0" quotePrefix="0" xfId="0">
      <alignment horizontal="left" vertical="top"/>
    </xf>
    <xf numFmtId="0" fontId="0" fillId="0" borderId="0" pivotButton="0" quotePrefix="0" xfId="0"/>
    <xf numFmtId="0" fontId="0" fillId="0" borderId="5"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fba.bplus-tokyo.com/" TargetMode="External" Id="rId1" /><Relationship Type="http://schemas.openxmlformats.org/officeDocument/2006/relationships/hyperlink" Target="http://fba.aptus-tokyo.co.jp/" TargetMode="External" Id="rId2" /><Relationship Type="http://schemas.openxmlformats.org/officeDocument/2006/relationships/hyperlink" Target="https://itoboshi.gekkou-company.jp/delivery-agency/" TargetMode="External" Id="rId3" /><Relationship Type="http://schemas.openxmlformats.org/officeDocument/2006/relationships/hyperlink" Target="https://taishinfba.com/" TargetMode="External" Id="rId4" /><Relationship Type="http://schemas.openxmlformats.org/officeDocument/2006/relationships/hyperlink" Target="https://joy-step.jp/request/" TargetMode="External" Id="rId5" /></Relationships>
</file>

<file path=xl/worksheets/_rels/sheet3.xml.rels><Relationships xmlns="http://schemas.openxmlformats.org/package/2006/relationships"><Relationship Type="http://schemas.openxmlformats.org/officeDocument/2006/relationships/hyperlink" Target="https://logex.jp/rakulogi-fba" TargetMode="External" Id="rId1" /><Relationship Type="http://schemas.openxmlformats.org/officeDocument/2006/relationships/hyperlink" Target="https://logisp.jp/" TargetMode="External" Id="rId2" /><Relationship Type="http://schemas.openxmlformats.org/officeDocument/2006/relationships/hyperlink" Target="https://imitsu.jp/list/logistics/fba-delivery-agency" TargetMode="External" Id="rId3" /><Relationship Type="http://schemas.openxmlformats.org/officeDocument/2006/relationships/hyperlink" Target="https://fujilogi.net/blogs/column/fujilogi-columnt-222" TargetMode="External" Id="rId4"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style="10" min="1" max="1"/>
  </cols>
  <sheetData>
    <row r="1">
      <c r="A1" t="inlineStr">
        <is>
          <t>この表は 2026-08-26 に訂正されています</t>
        </is>
      </c>
    </row>
    <row r="2">
      <c r="A2" t="inlineStr"/>
    </row>
    <row r="3">
      <c r="A3" t="inlineStr">
        <is>
          <t>出典: Genspark AI Sheets が 2026-08-09 に生成した比較表（社長共有）。</t>
        </is>
      </c>
    </row>
    <row r="4">
      <c r="A4" t="inlineStr">
        <is>
          <t>2026-08-21 の公式サイト裏取り（T-20260821-010・サトル）で、公式と食い違う記載が9件見つかりました。</t>
        </is>
      </c>
    </row>
    <row r="5">
      <c r="A5" t="inlineStr">
        <is>
          <t>実在する企業についての誤った料金情報を公開し続けることになるため、社長ご判断「訂正して。」（2026-08-26）を受け、</t>
        </is>
      </c>
    </row>
    <row r="6">
      <c r="A6" t="inlineStr">
        <is>
          <t>誤りと確認できた値を削除し「【未確認】」に置き換えました（T-20260826-001・マリエ）。</t>
        </is>
      </c>
    </row>
    <row r="7">
      <c r="A7" t="inlineStr"/>
    </row>
    <row r="8">
      <c r="A8" t="inlineStr">
        <is>
          <t>削除のみで、推測による書き換えはしていません。</t>
        </is>
      </c>
    </row>
    <row r="9">
      <c r="A9" t="inlineStr">
        <is>
          <t>公式で確認済みの正しい値は下記にあります:</t>
        </is>
      </c>
    </row>
    <row r="10">
      <c r="A10" t="inlineStr">
        <is>
          <t xml:space="preserve">  workspace/output/deliverables/T-20260821-010/01_公式裏取りファクトシート.md （§4-1）</t>
        </is>
      </c>
    </row>
    <row r="11">
      <c r="A11" t="inlineStr">
        <is>
          <t>訂正の一覧と根拠は docs/reference/fba-prep-center/README.md を参照してください。</t>
        </is>
      </c>
    </row>
    <row r="12">
      <c r="A12" t="inlineStr"/>
    </row>
    <row r="13">
      <c r="A13" t="inlineStr">
        <is>
          <t>この表の値をそのまま判断に使わないでください。正しい値が必要な場合はリサーチャー（サトル）による</t>
        </is>
      </c>
    </row>
    <row r="14">
      <c r="A14" t="inlineStr">
        <is>
          <t>公式サイトの再取得が必要です。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
  <sheetViews>
    <sheetView topLeftCell="A1" workbookViewId="0">
      <selection activeCell="A1" sqref="A1"/>
    </sheetView>
  </sheetViews>
  <sheetFormatPr baseColWidth="8" defaultColWidth="8.8515625" defaultRowHeight="15" customHeight="1"/>
  <cols>
    <col width="20.57421875" customWidth="1" style="10" min="1" max="2"/>
    <col width="62.8515625" customWidth="1" style="10" min="3" max="3"/>
    <col width="34.28125" customWidth="1" style="10" min="4" max="4"/>
    <col width="28.57421875" customWidth="1" style="10" min="5" max="5"/>
    <col width="57.140625" customWidth="1" style="10" min="6" max="6"/>
    <col width="51.421875" customWidth="1" style="10" min="7" max="7"/>
  </cols>
  <sheetData>
    <row r="1" ht="22.5" customHeight="1" s="10">
      <c r="A1" s="1" t="inlineStr">
        <is>
          <t>業者・事業所名</t>
        </is>
      </c>
      <c r="B1" s="1" t="inlineStr">
        <is>
          <t>型</t>
        </is>
      </c>
      <c r="C1" s="1" t="inlineStr">
        <is>
          <t>主な料金（税別）</t>
        </is>
      </c>
      <c r="D1" s="1" t="inlineStr">
        <is>
          <t>月額・初期費</t>
        </is>
      </c>
      <c r="E1" s="1" t="inlineStr">
        <is>
          <t>拠点</t>
        </is>
      </c>
      <c r="F1" s="1" t="inlineStr">
        <is>
          <t>特徴</t>
        </is>
      </c>
      <c r="G1" s="1" t="inlineStr">
        <is>
          <t>URL</t>
        </is>
      </c>
    </row>
    <row r="2" ht="67.5" customHeight="1" s="10">
      <c r="A2" s="2" t="inlineStr">
        <is>
          <t>びーぷらすFBA</t>
        </is>
      </c>
      <c r="B2" s="3" t="inlineStr">
        <is>
          <t>B型</t>
        </is>
      </c>
      <c r="C2" s="3" t="inlineStr">
        <is>
          <t>ラベル貼り10円/個、荷受確認10円/SKU、納品代行手数料300円/箱（〜15kg）・400円/箱（〜25kg）、納品プラン作成10円/SKU、商品登録50円/SKU</t>
        </is>
      </c>
      <c r="D2" s="3" t="inlineStr">
        <is>
          <t>なし</t>
        </is>
      </c>
      <c r="E2" s="3" t="inlineStr">
        <is>
          <t>東京・杉並</t>
        </is>
      </c>
      <c r="F2" s="3" t="inlineStr">
        <is>
          <t>【未確認】（「月間2万点以上の実績」は公式サイトに該当記述が無いため2026-08-26削除）セット組40〜50円、詳細検品20円、簡易検品無料。リサイクル段ボール無料。ChatWork＋Googleスプレッドシートで運用</t>
        </is>
      </c>
      <c r="G2" s="4">
        <f>HYPERLINK("http://fba.bplus-tokyo.com/","http://fba.bplus-tokyo.com/")</f>
        <v/>
      </c>
    </row>
    <row r="3" ht="67.5" customHeight="1" s="10">
      <c r="A3" s="2" t="inlineStr">
        <is>
          <t>おりおんFBA</t>
        </is>
      </c>
      <c r="B3" s="3" t="inlineStr">
        <is>
          <t>A型</t>
        </is>
      </c>
      <c r="C3" s="3" t="inlineStr">
        <is>
          <t>ラベル貼り11円/個、荷受確認22円/SKU、納品代行手数料370円/箱（〜10kg）・480円（〜15kg）・590円（〜20kg）・700円（〜25kg）、納品プラン作成55円/SKU</t>
        </is>
      </c>
      <c r="D3" s="3" t="inlineStr">
        <is>
          <t>なし</t>
        </is>
      </c>
      <c r="E3" s="3" t="inlineStr">
        <is>
          <t>東京・立川</t>
        </is>
      </c>
      <c r="F3" s="3" t="inlineStr">
        <is>
          <t>画像撮影30円/枚、サイズ計測30円/点、シール剥がし30円/点などオプションが細かい。個人宛発送・自己配送も可</t>
        </is>
      </c>
      <c r="G3" s="4">
        <f>HYPERLINK("http://fba.aptus-tokyo.co.jp/","http://fba.aptus-tokyo.co.jp/")</f>
        <v/>
      </c>
    </row>
    <row r="4" ht="67.5" customHeight="1" s="10">
      <c r="A4" s="2" t="inlineStr">
        <is>
          <t>糸星</t>
        </is>
      </c>
      <c r="B4" s="3" t="inlineStr">
        <is>
          <t>B型</t>
        </is>
      </c>
      <c r="C4" s="3" t="inlineStr">
        <is>
          <t>単品50円/点、大型150円/点、セット費+15円〜（種類数で変動）、自己発送手数料100円/件</t>
        </is>
      </c>
      <c r="D4" s="3" t="inlineStr">
        <is>
          <t>【未確認】（「なし」は誤りのため2026-08-26削除。公式では保管パレットが荷受に必須と明記。登録初月無料・月500点以上で1枚目無料は公式と一致）</t>
        </is>
      </c>
      <c r="E4" s="3" t="inlineStr">
        <is>
          <t>愛知</t>
        </is>
      </c>
      <c r="F4" s="3" t="inlineStr">
        <is>
          <t>セラーセントラル権限付与で納品プラン作成まで代行。【未確認】（納品日数は公式FAQの記載と食い違うため2026-08-26削除）</t>
        </is>
      </c>
      <c r="G4" s="4">
        <f>HYPERLINK("https://itoboshi.gekkou-company.jp/delivery-agency/","https://itoboshi.gekkou-company.jp/delivery-agency/")</f>
        <v/>
      </c>
    </row>
    <row r="5" ht="67.5" customHeight="1" s="10">
      <c r="A5" s="2" t="inlineStr">
        <is>
          <t>タイシンFBA</t>
        </is>
      </c>
      <c r="B5" s="3" t="inlineStr">
        <is>
          <t>斡旋型（複数施設）</t>
        </is>
      </c>
      <c r="C5" s="3" t="inlineStr">
        <is>
          <t>1点31.5円〜（検品・ラベル・箱詰・出荷コミコミ）、セット組52.5円〜、ラベル貼り25円/個、出荷梱包料250円/箱、納品プラン作成150円/出荷</t>
        </is>
      </c>
      <c r="D5" s="3" t="inlineStr">
        <is>
          <t>【未確認】（「なし」は誤りのため2026-08-26削除。公式には預託が必要な旨の記載あり）</t>
        </is>
      </c>
      <c r="E5" s="3" t="inlineStr">
        <is>
          <t>東京・神奈川・埼玉・仙台・大阪（計13事業所）</t>
        </is>
      </c>
      <c r="F5" s="3" t="inlineStr">
        <is>
          <t>2018年から施設への指導・品質管理・工程管理込み。月間3万点の取扱実績。在庫スペースは別途2,000円/月。初めての委託に向く</t>
        </is>
      </c>
      <c r="G5" s="4">
        <f>HYPERLINK("https://taishinfba.com/","https://taishinfba.com/")</f>
        <v/>
      </c>
    </row>
    <row r="6" ht="67.5" customHeight="1" s="10">
      <c r="A6" s="2" t="inlineStr">
        <is>
          <t>ほっこりーな博多</t>
        </is>
      </c>
      <c r="B6" s="3" t="inlineStr">
        <is>
          <t>B型</t>
        </is>
      </c>
      <c r="C6" s="3" t="inlineStr">
        <is>
          <t>要見積</t>
        </is>
      </c>
      <c r="D6" s="3" t="inlineStr">
        <is>
          <t>要確認</t>
        </is>
      </c>
      <c r="E6" s="3" t="inlineStr">
        <is>
          <t>福岡</t>
        </is>
      </c>
      <c r="F6" s="3" t="inlineStr">
        <is>
          <t>OPP袋詰め・ラベル貼り・開梱検品・出荷準備など軽作業全般。九州エリアの候補</t>
        </is>
      </c>
      <c r="G6" s="4">
        <f>HYPERLINK("https://joy-step.jp/request/","https://joy-step.jp/request/")</f>
        <v/>
      </c>
    </row>
  </sheetData>
  <hyperlinks>
    <hyperlink xmlns:r="http://schemas.openxmlformats.org/officeDocument/2006/relationships" ref="G2" display="http://fba.bplus-tokyo.com/" r:id="rId1"/>
    <hyperlink xmlns:r="http://schemas.openxmlformats.org/officeDocument/2006/relationships" ref="G3" display="http://fba.aptus-tokyo.co.jp/" r:id="rId2"/>
    <hyperlink xmlns:r="http://schemas.openxmlformats.org/officeDocument/2006/relationships" ref="G4" display="https://itoboshi.gekkou-company.jp/delivery-agency/" r:id="rId3"/>
    <hyperlink xmlns:r="http://schemas.openxmlformats.org/officeDocument/2006/relationships" ref="G5" display="https://taishinfba.com/" r:id="rId4"/>
    <hyperlink xmlns:r="http://schemas.openxmlformats.org/officeDocument/2006/relationships" ref="G6" display="https://joy-step.jp/request/" r:id="rId5"/>
  </hyperlinks>
  <pageMargins left="0.7" right="0.7" top="0.75" bottom="0.75" header="0.3" footer="0.3"/>
  <pageSetup orientation="portrait" paperSize="1"/>
  <headerFooter>
    <oddHeader>&amp;L&amp;C&amp;R</oddHeader>
    <oddFooter>&amp;L&amp;C&amp;R</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E5"/>
  <sheetViews>
    <sheetView topLeftCell="A1" workbookViewId="0">
      <selection activeCell="A1" sqref="A1"/>
    </sheetView>
  </sheetViews>
  <sheetFormatPr baseColWidth="8" defaultColWidth="8.8515625" defaultRowHeight="15" customHeight="1"/>
  <cols>
    <col width="22.8515625" customWidth="1" style="10" min="1" max="1"/>
    <col width="62.8515625" customWidth="1" style="10" min="2" max="2"/>
    <col width="51.421875" customWidth="1" style="10" min="3" max="3"/>
    <col width="57.140625" customWidth="1" style="10" min="4" max="4"/>
    <col width="62.8515625" customWidth="1" style="10" min="5" max="5"/>
  </cols>
  <sheetData>
    <row r="1" ht="22.5" customHeight="1" s="10">
      <c r="A1" s="1" t="inlineStr">
        <is>
          <t>業者名</t>
        </is>
      </c>
      <c r="B1" s="1" t="inlineStr">
        <is>
          <t>主な料金</t>
        </is>
      </c>
      <c r="C1" s="1" t="inlineStr">
        <is>
          <t>月額・初期費</t>
        </is>
      </c>
      <c r="D1" s="1" t="inlineStr">
        <is>
          <t>特徴</t>
        </is>
      </c>
      <c r="E1" s="1" t="inlineStr">
        <is>
          <t>URL</t>
        </is>
      </c>
    </row>
    <row r="2" ht="56.25" customHeight="1" s="10">
      <c r="A2" s="2" t="inlineStr">
        <is>
          <t>ラクロジ</t>
        </is>
      </c>
      <c r="B2" s="3" t="inlineStr">
        <is>
          <t>1点40円〜、送料45円〜</t>
        </is>
      </c>
      <c r="C2" s="3" t="inlineStr">
        <is>
          <t>要確認</t>
        </is>
      </c>
      <c r="D2" s="3" t="inlineStr">
        <is>
          <t>Amazon・楽天・Yahoo!対応。中国輸入商品の取扱実績あり。納品システム完備</t>
        </is>
      </c>
      <c r="E2" s="4">
        <f>HYPERLINK("https://logex.jp/rakulogi-fba","https://logex.jp/rakulogi-fba")</f>
        <v/>
      </c>
    </row>
    <row r="3" ht="56.25" customHeight="1" s="10">
      <c r="A3" s="2" t="inlineStr">
        <is>
          <t>ロジスピ</t>
        </is>
      </c>
      <c r="B3" s="3" t="inlineStr">
        <is>
          <t>1個75円〜、FBA/RSL納品690円</t>
        </is>
      </c>
      <c r="C3" s="3" t="inlineStr">
        <is>
          <t>初期2,020円・月額2,020円（税込）のプランあり（無料プランの情報もあり）</t>
        </is>
      </c>
      <c r="D3" s="3" t="inlineStr">
        <is>
          <t>出品作業から発送まで一貫対応。FBA自動納品機能・システム連携オプションあり</t>
        </is>
      </c>
      <c r="E3" s="4">
        <f>HYPERLINK("https://logisp.jp/","https://logisp.jp/")</f>
        <v/>
      </c>
    </row>
    <row r="4" ht="56.25" customHeight="1" s="10">
      <c r="A4" s="2" t="inlineStr">
        <is>
          <t>ユニストック</t>
        </is>
      </c>
      <c r="B4" s="3" t="inlineStr">
        <is>
          <t>【未確認】（公式に料金表があるため「要見積」は誤り。2026-08-26削除）</t>
        </is>
      </c>
      <c r="C4" s="3" t="inlineStr">
        <is>
          <t>【未確認】（同上。2026-08-26削除）</t>
        </is>
      </c>
      <c r="D4" s="3" t="inlineStr">
        <is>
          <t>通販事業者向け物流の実績豊富な会社。【未確認】（「大規模運用向き」は公式に該当記述が無いため2026-08-26削除）</t>
        </is>
      </c>
      <c r="E4" s="4" t="inlineStr">
        <is>
          <t>【出典不適切】第三者の一括見積りアグリゲータであり同社の公式サイトではないため2026-08-26削除</t>
        </is>
      </c>
    </row>
    <row r="5" ht="56.25" customHeight="1" s="10">
      <c r="A5" s="2" t="inlineStr">
        <is>
          <t>FBA代行センター</t>
        </is>
      </c>
      <c r="B5" s="3" t="inlineStr">
        <is>
          <t>【未確認】（ラベル貼り・セット梱包・配送料の3項目とも公式と食い違うため2026-08-26削除）</t>
        </is>
      </c>
      <c r="C5" s="3" t="inlineStr">
        <is>
          <t>【未確認】（公式に明記があるため「要確認」は不正確。2026-08-26削除）</t>
        </is>
      </c>
      <c r="D5" s="3" t="inlineStr">
        <is>
          <t>中古品対応可</t>
        </is>
      </c>
      <c r="E5" s="4" t="inlineStr">
        <is>
          <t>【出典不適切】別会社のブログ記事であり同社の公式サイトではないため2026-08-26削除</t>
        </is>
      </c>
    </row>
  </sheetData>
  <hyperlinks>
    <hyperlink xmlns:r="http://schemas.openxmlformats.org/officeDocument/2006/relationships" ref="E2" display="https://logex.jp/rakulogi-fba" r:id="rId1"/>
    <hyperlink xmlns:r="http://schemas.openxmlformats.org/officeDocument/2006/relationships" ref="E3" display="https://logisp.jp/" r:id="rId2"/>
    <hyperlink xmlns:r="http://schemas.openxmlformats.org/officeDocument/2006/relationships" ref="E4" display="https://imitsu.jp/list/logistics/fba-delivery-agency" r:id="rId3"/>
    <hyperlink xmlns:r="http://schemas.openxmlformats.org/officeDocument/2006/relationships" ref="E5" display="https://fujilogi.net/blogs/column/fujilogi-columnt-222" r:id="rId4"/>
  </hyperlinks>
  <pageMargins left="0.7" right="0.7" top="0.75" bottom="0.75" header="0.3" footer="0.3"/>
  <pageSetup orientation="portrait" paperSize="1"/>
  <headerFooter>
    <oddHeader>&amp;L&amp;C&amp;R</oddHeader>
    <oddFooter>&amp;L&amp;C&amp;R</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C7"/>
  <sheetViews>
    <sheetView topLeftCell="A1" workbookViewId="0">
      <selection activeCell="A1" sqref="A1"/>
    </sheetView>
  </sheetViews>
  <sheetFormatPr baseColWidth="8" defaultColWidth="8.8515625" defaultRowHeight="15" customHeight="1"/>
  <cols>
    <col width="22.8515625" customWidth="1" style="10" min="1" max="1"/>
    <col width="51.421875" customWidth="1" style="10" min="2" max="3"/>
  </cols>
  <sheetData>
    <row r="1" ht="22.5" customHeight="1" s="10">
      <c r="A1" s="1" t="inlineStr">
        <is>
          <t>観点</t>
        </is>
      </c>
      <c r="B1" s="1" t="inlineStr">
        <is>
          <t>就労支援系</t>
        </is>
      </c>
      <c r="C1" s="1" t="inlineStr">
        <is>
          <t>一般物流系</t>
        </is>
      </c>
    </row>
    <row r="2" ht="30" customHeight="1" s="10">
      <c r="A2" s="5" t="inlineStr">
        <is>
          <t>単価</t>
        </is>
      </c>
      <c r="B2" s="6" t="inlineStr">
        <is>
          <t>10〜50円/点と圧倒的に安い</t>
        </is>
      </c>
      <c r="C2" s="6" t="inlineStr">
        <is>
          <t>40〜100円/点が相場</t>
        </is>
      </c>
    </row>
    <row r="3" ht="30" customHeight="1" s="10">
      <c r="A3" s="5" t="inlineStr">
        <is>
          <t>月額固定費</t>
        </is>
      </c>
      <c r="B3" s="6" t="inlineStr">
        <is>
          <t>【未確認】（「ほぼ無料」は過度な一般化のため2026-08-26削除。就労支援系にも固定費が必要な事業者があります）</t>
        </is>
      </c>
      <c r="C3" s="6" t="inlineStr">
        <is>
          <t>0〜1万円程度かかることが多い</t>
        </is>
      </c>
    </row>
    <row r="4" ht="30" customHeight="1" s="10">
      <c r="A4" s="5" t="inlineStr">
        <is>
          <t>納品スピード</t>
        </is>
      </c>
      <c r="B4" s="6" t="inlineStr">
        <is>
          <t>2〜3営業日が標準（事業者ごとに異なります。個別の日数は公式FAQを確認してください）</t>
        </is>
      </c>
      <c r="C4" s="6" t="inlineStr">
        <is>
          <t>システム化され早いことが多い</t>
        </is>
      </c>
    </row>
    <row r="5" ht="30" customHeight="1" s="10">
      <c r="A5" s="5" t="inlineStr">
        <is>
          <t>対応の柔軟さ</t>
        </is>
      </c>
      <c r="B5" s="6" t="inlineStr">
        <is>
          <t>複雑作業・特殊要望は施設による</t>
        </is>
      </c>
      <c r="C5" s="6" t="inlineStr">
        <is>
          <t>標準化された業務フローで安定</t>
        </is>
      </c>
    </row>
    <row r="6" ht="30" customHeight="1" s="10">
      <c r="A6" s="5" t="inlineStr">
        <is>
          <t>社会貢献性</t>
        </is>
      </c>
      <c r="B6" s="6" t="inlineStr">
        <is>
          <t>障害者雇用創出に直結</t>
        </is>
      </c>
      <c r="C6" s="6" t="inlineStr">
        <is>
          <t>なし</t>
        </is>
      </c>
    </row>
    <row r="7" ht="30" customHeight="1" s="10">
      <c r="A7" s="5" t="inlineStr">
        <is>
          <t>向く人</t>
        </is>
      </c>
      <c r="B7" s="6" t="inlineStr">
        <is>
          <t>コスト重視・定型作業中心・中〜小規模</t>
        </is>
      </c>
      <c r="C7" s="6" t="inlineStr">
        <is>
          <t>スピード・システム連携重視・大規模</t>
        </is>
      </c>
    </row>
  </sheetData>
  <pageMargins left="0.7" right="0.7" top="0.75" bottom="0.75" header="0.3" footer="0.3"/>
  <pageSetup orientation="portrait" paperSize="1"/>
  <headerFooter>
    <oddHeader>&amp;L&amp;C&amp;R</oddHeader>
    <oddFooter>&amp;L&amp;C&amp;R</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B13"/>
  <sheetViews>
    <sheetView tabSelected="1" topLeftCell="A1" workbookViewId="0">
      <selection activeCell="A1" sqref="A1"/>
    </sheetView>
  </sheetViews>
  <sheetFormatPr baseColWidth="8" defaultColWidth="8.8515625" defaultRowHeight="15" customHeight="1"/>
  <cols>
    <col width="40.00390625" customWidth="1" style="10" min="1" max="1"/>
    <col width="51.421875" customWidth="1" style="10" min="2" max="2"/>
  </cols>
  <sheetData>
    <row r="1" ht="22.5" customHeight="1" s="10">
      <c r="A1" s="1" t="inlineStr">
        <is>
          <t>あなたの条件</t>
        </is>
      </c>
      <c r="B1" s="1" t="inlineStr">
        <is>
          <t>推奨候補</t>
        </is>
      </c>
    </row>
    <row r="2" ht="26.25" customHeight="1" s="10">
      <c r="A2" s="6" t="inlineStr">
        <is>
          <t>とにかく単価最安・定型作業</t>
        </is>
      </c>
      <c r="B2" s="6" t="inlineStr">
        <is>
          <t>びーぷらすFBA（10円/個〜）</t>
        </is>
      </c>
    </row>
    <row r="3" ht="26.25" customHeight="1" s="10">
      <c r="A3" s="6" t="inlineStr">
        <is>
          <t>雇用契約型で安定稼働を求める</t>
        </is>
      </c>
      <c r="B3" s="6" t="inlineStr">
        <is>
          <t>おりおんFBA（A型）</t>
        </is>
      </c>
    </row>
    <row r="4" ht="26.25" customHeight="1" s="10">
      <c r="A4" s="6" t="inlineStr">
        <is>
          <t>初めてで品質が不安</t>
        </is>
      </c>
      <c r="B4" s="6" t="inlineStr">
        <is>
          <t>タイシンFBA（指導・管理込み）</t>
        </is>
      </c>
    </row>
    <row r="5" ht="26.25" customHeight="1" s="10">
      <c r="A5" s="6" t="inlineStr">
        <is>
          <t>中国輸入や複数モール対応</t>
        </is>
      </c>
      <c r="B5" s="6" t="inlineStr">
        <is>
          <t>ラクロジ</t>
        </is>
      </c>
    </row>
    <row r="6" ht="26.25" customHeight="1" s="10">
      <c r="A6" s="6" t="inlineStr">
        <is>
          <t>月額を払ってでも自動化したい</t>
        </is>
      </c>
      <c r="B6" s="6" t="inlineStr">
        <is>
          <t>ロジスピ</t>
        </is>
      </c>
    </row>
    <row r="7" ht="26.25" customHeight="1" s="10">
      <c r="A7" s="6" t="inlineStr">
        <is>
          <t>愛知・九州など地方拠点が良い</t>
        </is>
      </c>
      <c r="B7" s="6" t="inlineStr">
        <is>
          <t>糸星（愛知）／ほっこりーな博多（福岡）</t>
        </is>
      </c>
    </row>
    <row r="9" ht="22.5" customHeight="1" s="10">
      <c r="A9" s="7" t="inlineStr">
        <is>
          <t>■ 比較時の注意</t>
        </is>
      </c>
      <c r="B9" s="11" t="n"/>
    </row>
    <row r="10" ht="45" customHeight="1" s="10">
      <c r="A10" s="8" t="n">
        <v>1</v>
      </c>
      <c r="B10" s="9" t="inlineStr">
        <is>
          <t>表の単価は「ラベル貼りだけ」の数字と「検品・箱詰・出荷コミコミ」の数字が混在しています。必ず「商品1点が施設に届いてからFBA倉庫に発送されるまでの総額（着地コスト）」で見積もりを取り比較してください。</t>
        </is>
      </c>
    </row>
    <row r="11" ht="45" customHeight="1" s="10">
      <c r="A11" s="8" t="n">
        <v>2</v>
      </c>
      <c r="B11" s="9" t="inlineStr">
        <is>
          <t>料金は2026年8月時点の公開情報ベースです。変動するため依頼前に必ず最新見積もりを確認してください。</t>
        </is>
      </c>
    </row>
    <row r="12" ht="45" customHeight="1" s="10">
      <c r="A12" s="8" t="n">
        <v>3</v>
      </c>
      <c r="B12" s="9" t="inlineStr">
        <is>
          <t>契約前には小ロット（30〜100点）の有償テストを推奨します。</t>
        </is>
      </c>
    </row>
    <row r="13" ht="45" customHeight="1" s="10">
      <c r="A13" s="8" t="n">
        <v>4</v>
      </c>
      <c r="B13" s="9" t="inlineStr">
        <is>
          <t>誤ラベル・破損時の補填条件、保管料、送料負担の有無は必ず個別確認してください。</t>
        </is>
      </c>
    </row>
  </sheetData>
  <mergeCells count="1">
    <mergeCell ref="A9:B9"/>
  </mergeCells>
  <pageMargins left="0.7" right="0.7" top="0.75" bottom="0.75" header="0.3" footer="0.3"/>
  <pageSetup orientation="portrait" paperSize="1"/>
  <headerFooter>
    <oddHeader>&amp;L&amp;C&amp;R</oddHeader>
    <oddFooter>&amp;L&amp;C&amp;R</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2026-08-09T14:01:53Z</dcterms:created>
  <dcterms:modified xsi:type="dcterms:W3CDTF">2026-08-26T01:35:17Z</dcterms:modified>
</cp:coreProperties>
</file>