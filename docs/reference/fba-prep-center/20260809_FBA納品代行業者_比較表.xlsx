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g"/>
  <Default Extension="tiff" ContentType="image/tiff"/>
  <Default Extension="jpeg" ContentType="image/jpeg"/>
  <Default Extension="png" ContentType="image/png"/>
  <Default Extension="bmp" ContentType="image/bmp"/>
  <Default Extension="gif" ContentType="image/gif"/>
  <Default Extension="svg" ContentType="image/svg+xml"/>
  <Default Extension="emf" ContentType="image/x-emf"/>
  <Default Extension="wmf" ContentType="image/x-wmf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/xl/workbook.xml"/><Relationship Id="rId2" Type="http://schemas.openxmlformats.org/package/2006/relationships/metadata/core-properties" Target="/docProps/core.xml"/><Relationship Id="rId3" Type="http://schemas.openxmlformats.org/officeDocument/2006/relationships/extended-properties" Target="/docProps/app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firstSheet="2" activeTab="3" tabRatio="500"/>
  </bookViews>
  <sheets>
    <sheet r:id="rId1" name="就労支援系" sheetId="1"/>
    <sheet r:id="rId2" name="一般物流系" sheetId="2"/>
    <sheet r:id="rId3" name="総合比較" sheetId="3"/>
    <sheet r:id="rId4" name="選び方の目安" sheetId="4"/>
  </sheets>
  <calcPr calcId="0" iterate="1" iterateCount="1000" iterateDelta="0.01"/>
</workbook>
</file>

<file path=xl/sharedStrings.xml><?xml version="1.0" encoding="utf-8"?>
<sst xmlns="http://schemas.openxmlformats.org/spreadsheetml/2006/main" count="93" uniqueCount="93">
  <si>
    <t>業者・事業所名</t>
  </si>
  <si>
    <t>型</t>
  </si>
  <si>
    <t>主な料金（税別）</t>
  </si>
  <si>
    <t>月額・初期費</t>
  </si>
  <si>
    <t>拠点</t>
  </si>
  <si>
    <t>特徴</t>
  </si>
  <si>
    <t>URL</t>
  </si>
  <si>
    <t>びーぷらすFBA</t>
  </si>
  <si>
    <t>B型</t>
  </si>
  <si>
    <t>ラベル貼り10円/個、荷受確認10円/SKU、納品代行手数料300円/箱（〜15kg）・400円/箱（〜25kg）、納品プラン作成10円/SKU、商品登録50円/SKU</t>
  </si>
  <si>
    <t>なし</t>
  </si>
  <si>
    <t>東京・杉並</t>
  </si>
  <si>
    <t>月間2万点以上の実績。セット組40〜50円、詳細検品20円、簡易検品無料。リサイクル段ボール無料。ChatWork＋Googleスプレッドシートで運用</t>
  </si>
  <si>
    <t>http://fba.bplus-tokyo.com/</t>
  </si>
  <si>
    <t>おりおんFBA</t>
  </si>
  <si>
    <t>A型</t>
  </si>
  <si>
    <t>ラベル貼り11円/個、荷受確認22円/SKU、納品代行手数料370円/箱（〜10kg）・480円（〜15kg）・590円（〜20kg）・700円（〜25kg）、納品プラン作成55円/SKU</t>
  </si>
  <si>
    <t>東京・立川</t>
  </si>
  <si>
    <t>画像撮影30円/枚、サイズ計測30円/点、シール剥がし30円/点などオプションが細かい。個人宛発送・自己配送も可</t>
  </si>
  <si>
    <t>http://fba.aptus-tokyo.co.jp/</t>
  </si>
  <si>
    <t>糸星</t>
  </si>
  <si>
    <t>単品50円/点、大型150円/点、セット費+15円〜（種類数で変動）、自己発送手数料100円/件</t>
  </si>
  <si>
    <t>なし（保管はパレット3,000円/月・登録初月無料・月500点以上で1枚目無料）</t>
  </si>
  <si>
    <t>愛知</t>
  </si>
  <si>
    <t>セラーセントラル権限付与で納品プラン作成まで代行。荷受から2営業日以内の納品目安</t>
  </si>
  <si>
    <t>https://itoboshi.gekkou-company.jp/delivery-agency/</t>
  </si>
  <si>
    <t>タイシンFBA</t>
  </si>
  <si>
    <t>斡旋型（複数施設）</t>
  </si>
  <si>
    <t>1点31.5円〜（検品・ラベル・箱詰・出荷コミコミ）、セット組52.5円〜、ラベル貼り25円/個、出荷梱包料250円/箱、納品プラン作成150円/出荷</t>
  </si>
  <si>
    <t>東京・神奈川・埼玉・仙台・大阪（計13事業所）</t>
  </si>
  <si>
    <t>2018年から施設への指導・品質管理・工程管理込み。月間3万点の取扱実績。在庫スペースは別途2,000円/月。初めての委託に向く</t>
  </si>
  <si>
    <t>https://taishinfba.com/</t>
  </si>
  <si>
    <t>ほっこりーな博多</t>
  </si>
  <si>
    <t>要見積</t>
  </si>
  <si>
    <t>要確認</t>
  </si>
  <si>
    <t>福岡</t>
  </si>
  <si>
    <t>OPP袋詰め・ラベル貼り・開梱検品・出荷準備など軽作業全般。九州エリアの候補</t>
  </si>
  <si>
    <t>https://joy-step.jp/request/</t>
  </si>
  <si>
    <t>業者名</t>
  </si>
  <si>
    <t>主な料金</t>
  </si>
  <si>
    <t>ラクロジ</t>
  </si>
  <si>
    <t>1点40円〜、送料45円〜</t>
  </si>
  <si>
    <t>Amazon・楽天・Yahoo!対応。中国輸入商品の取扱実績あり。納品システム完備</t>
  </si>
  <si>
    <t>https://logex.jp/rakulogi-fba</t>
  </si>
  <si>
    <t>ロジスピ</t>
  </si>
  <si>
    <t>1個75円〜、FBA/RSL納品690円</t>
  </si>
  <si>
    <t>初期2,020円・月額2,020円（税込）のプランあり（無料プランの情報もあり）</t>
  </si>
  <si>
    <t>出品作業から発送まで一貫対応。FBA自動納品機能・システム連携オプションあり</t>
  </si>
  <si>
    <t>https://logisp.jp/</t>
  </si>
  <si>
    <t>ユニストック</t>
  </si>
  <si>
    <t>通販事業者向け物流の実績豊富な会社。大規模運用向き</t>
  </si>
  <si>
    <t>https://imitsu.jp/list/logistics/fba-delivery-agency</t>
  </si>
  <si>
    <t>FBA代行センター</t>
  </si>
  <si>
    <t>ラベル貼り 小100円/大300円、セット梱包 小100円/大300円、配送料600円〜3,040円（100〜200サイズ）</t>
  </si>
  <si>
    <t>中古品対応可</t>
  </si>
  <si>
    <t>https://fujilogi.net/blogs/column/fujilogi-columnt-222</t>
  </si>
  <si>
    <t>観点</t>
  </si>
  <si>
    <t>就労支援系</t>
  </si>
  <si>
    <t>一般物流系</t>
  </si>
  <si>
    <t>単価</t>
  </si>
  <si>
    <t>10〜50円/点と圧倒的に安い</t>
  </si>
  <si>
    <t>40〜100円/点が相場</t>
  </si>
  <si>
    <t>月額固定費</t>
  </si>
  <si>
    <t>ほぼ無料</t>
  </si>
  <si>
    <t>0〜1万円程度かかることが多い</t>
  </si>
  <si>
    <t>納品スピード</t>
  </si>
  <si>
    <t>2〜3営業日が標準</t>
  </si>
  <si>
    <t>システム化され早いことが多い</t>
  </si>
  <si>
    <t>対応の柔軟さ</t>
  </si>
  <si>
    <t>複雑作業・特殊要望は施設による</t>
  </si>
  <si>
    <t>標準化された業務フローで安定</t>
  </si>
  <si>
    <t>社会貢献性</t>
  </si>
  <si>
    <t>障害者雇用創出に直結</t>
  </si>
  <si>
    <t>向く人</t>
  </si>
  <si>
    <t>コスト重視・定型作業中心・中〜小規模</t>
  </si>
  <si>
    <t>スピード・システム連携重視・大規模</t>
  </si>
  <si>
    <t>あなたの条件</t>
  </si>
  <si>
    <t>推奨候補</t>
  </si>
  <si>
    <t>とにかく単価最安・定型作業</t>
  </si>
  <si>
    <t>びーぷらすFBA（10円/個〜）</t>
  </si>
  <si>
    <t>雇用契約型で安定稼働を求める</t>
  </si>
  <si>
    <t>おりおんFBA（A型）</t>
  </si>
  <si>
    <t>初めてで品質が不安</t>
  </si>
  <si>
    <t>タイシンFBA（指導・管理込み）</t>
  </si>
  <si>
    <t>中国輸入や複数モール対応</t>
  </si>
  <si>
    <t>月額を払ってでも自動化したい</t>
  </si>
  <si>
    <t>愛知・九州など地方拠点が良い</t>
  </si>
  <si>
    <t>糸星（愛知）／ほっこりーな博多（福岡）</t>
  </si>
  <si>
    <t>■ 比較時の注意</t>
  </si>
  <si>
    <t>表の単価は「ラベル貼りだけ」の数字と「検品・箱詰・出荷コミコミ」の数字が混在しています。必ず「商品1点が施設に届いてからFBA倉庫に発送されるまでの総額（着地コスト）」で見積もりを取り比較してください。</t>
  </si>
  <si>
    <t>料金は2026年8月時点の公開情報ベースです。変動するため依頼前に必ず最新見積もりを確認してください。</t>
  </si>
  <si>
    <t>契約前には小ロット（30〜100点）の有償テストを推奨します。</t>
  </si>
  <si>
    <t>誤ラベル・破損時の補填条件、保管料、送料負担の有無は必ず個別確認してください。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</si>
</sst>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>
    <font>
      <sz val="11"/>
      <color theme="1"/>
      <name val="Calibri"/>
      <scheme val="minor"/>
    </font>
    <font>
      <b/>
      <i val="0"/>
      <sz val="12"/>
      <color rgb="FFFFFFFF"/>
      <name val="Aptos Narrow"/>
    </font>
    <font>
      <b/>
      <i val="0"/>
      <sz val="12"/>
      <name val="Aptos Narrow"/>
    </font>
    <font>
      <name val="Calibri"/>
      <scheme val="minor"/>
    </font>
    <font>
      <u/>
      <color theme="10"/>
      <name val="Calibri"/>
      <scheme val="minor"/>
    </font>
    <font>
      <b/>
      <i val="0"/>
      <sz val="14"/>
      <name val="Aptos Narrow"/>
    </font>
  </fonts>
  <fills count="5">
    <fill>
      <patternFill patternType="none"/>
    </fill>
    <fill>
      <patternFill patternType="gray125"/>
    </fill>
    <fill>
      <patternFill patternType="solid">
        <fgColor rgb="FF4472C4"/>
      </patternFill>
    </fill>
    <fill>
      <patternFill patternType="solid">
        <fgColor rgb="FFF2F2F2"/>
      </patternFill>
    </fill>
    <fill>
      <patternFill patternType="solid">
        <fgColor rgb="FFFFC000"/>
      </patternFill>
    </fill>
  </fills>
  <borders count="3">
    <border>
      <left/>
      <right/>
      <top/>
      <bottom/>
    </border>
    <border>
      <left>
        <color rgb="FF000000"/>
      </left>
      <right>
        <color rgb="FF000000"/>
      </right>
      <top>
        <color rgb="FF000000"/>
      </top>
      <bottom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1">
      <alignment horizontal="general" vertical="top"/>
    </xf>
  </cellStyleXfs>
  <cellXfs count="10">
    <xf numFmtId="0" fontId="0" fillId="0" borderId="1" xfId="0">
      <alignment vertical="top"/>
    </xf>
    <xf numFmtId="0" fontId="1" fillId="2" borderId="2" xfId="0">
      <alignment horizontal="center" vertical="center"/>
    </xf>
    <xf numFmtId="0" fontId="2" fillId="0" borderId="2" xfId="0">
      <alignment vertical="top"/>
    </xf>
    <xf numFmtId="0" fontId="3" fillId="0" borderId="2" xfId="0">
      <alignment vertical="top"/>
    </xf>
    <xf numFmtId="0" fontId="4" fillId="0" borderId="2" xfId="0">
      <alignment vertical="top"/>
    </xf>
    <xf numFmtId="0" fontId="2" fillId="3" borderId="2" xfId="0">
      <alignment vertical="center"/>
    </xf>
    <xf numFmtId="0" fontId="3" fillId="0" borderId="2" xfId="0">
      <alignment vertical="center"/>
    </xf>
    <xf numFmtId="0" fontId="5" fillId="4" borderId="2" xfId="0">
      <alignment horizontal="center" vertical="center"/>
    </xf>
    <xf numFmtId="0" fontId="2" fillId="0" borderId="2" xfId="0">
      <alignment horizontal="center" vertical="top"/>
    </xf>
    <xf numFmtId="0" fontId="3" fillId="0" borderId="2" xfId="0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Relationship Id="rId6" Type="http://schemas.openxmlformats.org/officeDocument/2006/relationships/theme" Target="theme/theme1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arget="http://fba.bplus-tokyo.com/" Type="http://schemas.openxmlformats.org/officeDocument/2006/relationships/hyperlink" TargetMode="External"/><Relationship Id="rId2" Target="http://fba.aptus-tokyo.co.jp/" Type="http://schemas.openxmlformats.org/officeDocument/2006/relationships/hyperlink" TargetMode="External"/><Relationship Id="rId3" Target="https://itoboshi.gekkou-company.jp/delivery-agency/" Type="http://schemas.openxmlformats.org/officeDocument/2006/relationships/hyperlink" TargetMode="External"/><Relationship Id="rId4" Target="https://taishinfba.com/" Type="http://schemas.openxmlformats.org/officeDocument/2006/relationships/hyperlink" TargetMode="External"/><Relationship Id="rId5" Target="https://joy-step.jp/request/" Type="http://schemas.openxmlformats.org/officeDocument/2006/relationships/hyperlink" TargetMode="External"/></Relationships>
</file>

<file path=xl/worksheets/_rels/sheet2.xml.rels><?xml version="1.0" encoding="UTF-8" standalone="yes"?>
<Relationships xmlns="http://schemas.openxmlformats.org/package/2006/relationships"><Relationship Id="rId1" Target="https://logex.jp/rakulogi-fba" Type="http://schemas.openxmlformats.org/officeDocument/2006/relationships/hyperlink" TargetMode="External"/><Relationship Id="rId2" Target="https://logisp.jp/" Type="http://schemas.openxmlformats.org/officeDocument/2006/relationships/hyperlink" TargetMode="External"/><Relationship Id="rId3" Target="https://imitsu.jp/list/logistics/fba-delivery-agency" Type="http://schemas.openxmlformats.org/officeDocument/2006/relationships/hyperlink" TargetMode="External"/><Relationship Id="rId4" Target="https://fujilogi.net/blogs/column/fujilogi-columnt-222" Type="http://schemas.openxmlformats.org/officeDocument/2006/relationships/hyperli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B5DEB3E8-B167-F5B8-F8C8-A0583552AD99}" mc:Ignorable="x14ac xr xr2 xr3">
  <dimension ref="A1:GR1000"/>
  <sheetViews>
    <sheetView topLeftCell="A1" workbookViewId="0">
      <selection activeCell="A1" sqref="A1"/>
    </sheetView>
  </sheetViews>
  <sheetFormatPr defaultRowHeight="15" defaultColWidth="8.8515625" customHeight="1"/>
  <cols>
    <col min="1" max="2" width="20.57421875" customWidth="1"/>
    <col min="3" max="3" width="62.8515625" customWidth="1"/>
    <col min="4" max="4" width="34.28125" customWidth="1"/>
    <col min="5" max="5" width="28.57421875" customWidth="1"/>
    <col min="6" max="6" width="57.140625" customWidth="1"/>
    <col min="7" max="7" width="51.421875" customWidth="1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ht="67.5" customHeight="1">
      <c r="A2" s="2" t="s">
        <v>7</v>
      </c>
      <c r="B2" s="3" t="s">
        <v>8</v>
      </c>
      <c r="C2" s="3" t="s">
        <v>9</v>
      </c>
      <c r="D2" s="3" t="s">
        <v>10</v>
      </c>
      <c r="E2" s="3" t="s">
        <v>11</v>
      </c>
      <c r="F2" s="3" t="s">
        <v>12</v>
      </c>
      <c r="G2" s="4" t="str">
        <f>HYPERLINK("http://fba.bplus-tokyo.com/","http://fba.bplus-tokyo.com/")</f>
        <v>http://fba.bplus-tokyo.com/</v>
      </c>
    </row>
    <row r="3" ht="67.5" customHeight="1">
      <c r="A3" s="2" t="s">
        <v>14</v>
      </c>
      <c r="B3" s="3" t="s">
        <v>15</v>
      </c>
      <c r="C3" s="3" t="s">
        <v>16</v>
      </c>
      <c r="D3" s="3" t="s">
        <v>10</v>
      </c>
      <c r="E3" s="3" t="s">
        <v>17</v>
      </c>
      <c r="F3" s="3" t="s">
        <v>18</v>
      </c>
      <c r="G3" s="4" t="str">
        <f>HYPERLINK("http://fba.aptus-tokyo.co.jp/","http://fba.aptus-tokyo.co.jp/")</f>
        <v>http://fba.aptus-tokyo.co.jp/</v>
      </c>
    </row>
    <row r="4" ht="67.5" customHeight="1">
      <c r="A4" s="2" t="s">
        <v>20</v>
      </c>
      <c r="B4" s="3" t="s">
        <v>8</v>
      </c>
      <c r="C4" s="3" t="s">
        <v>21</v>
      </c>
      <c r="D4" s="3" t="s">
        <v>22</v>
      </c>
      <c r="E4" s="3" t="s">
        <v>23</v>
      </c>
      <c r="F4" s="3" t="s">
        <v>24</v>
      </c>
      <c r="G4" s="4" t="str">
        <f>HYPERLINK("https://itoboshi.gekkou-company.jp/delivery-agency/","https://itoboshi.gekkou-company.jp/delivery-agency/")</f>
        <v>https://itoboshi.gekkou-company.jp/delivery-agency/</v>
      </c>
    </row>
    <row r="5" ht="67.5" customHeight="1">
      <c r="A5" s="2" t="s">
        <v>26</v>
      </c>
      <c r="B5" s="3" t="s">
        <v>27</v>
      </c>
      <c r="C5" s="3" t="s">
        <v>28</v>
      </c>
      <c r="D5" s="3" t="s">
        <v>10</v>
      </c>
      <c r="E5" s="3" t="s">
        <v>29</v>
      </c>
      <c r="F5" s="3" t="s">
        <v>30</v>
      </c>
      <c r="G5" s="4" t="str">
        <f>HYPERLINK("https://taishinfba.com/","https://taishinfba.com/")</f>
        <v>https://taishinfba.com/</v>
      </c>
    </row>
    <row r="6" ht="67.5" customHeight="1">
      <c r="A6" s="2" t="s">
        <v>32</v>
      </c>
      <c r="B6" s="3" t="s">
        <v>8</v>
      </c>
      <c r="C6" s="3" t="s">
        <v>33</v>
      </c>
      <c r="D6" s="3" t="s">
        <v>34</v>
      </c>
      <c r="E6" s="3" t="s">
        <v>35</v>
      </c>
      <c r="F6" s="3" t="s">
        <v>36</v>
      </c>
      <c r="G6" s="4" t="str">
        <f>HYPERLINK("https://joy-step.jp/request/","https://joy-step.jp/request/")</f>
        <v>https://joy-step.jp/request/</v>
      </c>
    </row>
  </sheetData>
  <hyperlinks>
    <hyperlink ref="G2" r:id="rId1" display="http://fba.bplus-tokyo.com/"/>
    <hyperlink ref="G3" r:id="rId2" display="http://fba.aptus-tokyo.co.jp/"/>
    <hyperlink ref="G4" r:id="rId3" display="https://itoboshi.gekkou-company.jp/delivery-agency/"/>
    <hyperlink ref="G5" r:id="rId4" display="https://taishinfba.com/"/>
    <hyperlink ref="G6" r:id="rId5" display="https://joy-step.jp/request/"/>
  </hyperlinks>
  <printOptions/>
  <pageMargins left="0.7" right="0.7" top="0.75" bottom="0.75" header="0.3" footer="0.3"/>
  <pageSetup paperSize="1" orientation="portrait"/>
  <headerFooter>
    <oddHeader>&amp;L&amp;C&amp;R</oddHeader>
    <oddFooter>&amp;L&amp;C&amp;R</oddFooter>
  </headerFooter>
  <extLst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4D18BCE8-2CE8-35DA-1A68-BBB125E1BE81}" mc:Ignorable="x14ac xr xr2 xr3">
  <dimension ref="A1:GR1000"/>
  <sheetViews>
    <sheetView topLeftCell="A1" workbookViewId="0">
      <selection activeCell="A1" sqref="A1"/>
    </sheetView>
  </sheetViews>
  <sheetFormatPr defaultRowHeight="15" defaultColWidth="8.8515625" customHeight="1"/>
  <cols>
    <col min="1" max="1" width="22.8515625" customWidth="1"/>
    <col min="2" max="2" width="62.8515625" customWidth="1"/>
    <col min="3" max="3" width="51.421875" customWidth="1"/>
    <col min="4" max="4" width="57.140625" customWidth="1"/>
    <col min="5" max="5" width="62.8515625" customWidth="1"/>
  </cols>
  <sheetData>
    <row r="1" ht="22.5" customHeight="1">
      <c r="A1" s="1" t="s">
        <v>38</v>
      </c>
      <c r="B1" s="1" t="s">
        <v>39</v>
      </c>
      <c r="C1" s="1" t="s">
        <v>3</v>
      </c>
      <c r="D1" s="1" t="s">
        <v>5</v>
      </c>
      <c r="E1" s="1" t="s">
        <v>6</v>
      </c>
    </row>
    <row r="2" ht="56.25" customHeight="1">
      <c r="A2" s="2" t="s">
        <v>40</v>
      </c>
      <c r="B2" s="3" t="s">
        <v>41</v>
      </c>
      <c r="C2" s="3" t="s">
        <v>34</v>
      </c>
      <c r="D2" s="3" t="s">
        <v>42</v>
      </c>
      <c r="E2" s="4" t="str">
        <f>HYPERLINK("https://logex.jp/rakulogi-fba","https://logex.jp/rakulogi-fba")</f>
        <v>https://logex.jp/rakulogi-fba</v>
      </c>
    </row>
    <row r="3" ht="56.25" customHeight="1">
      <c r="A3" s="2" t="s">
        <v>44</v>
      </c>
      <c r="B3" s="3" t="s">
        <v>45</v>
      </c>
      <c r="C3" s="3" t="s">
        <v>46</v>
      </c>
      <c r="D3" s="3" t="s">
        <v>47</v>
      </c>
      <c r="E3" s="4" t="str">
        <f>HYPERLINK("https://logisp.jp/","https://logisp.jp/")</f>
        <v>https://logisp.jp/</v>
      </c>
    </row>
    <row r="4" ht="56.25" customHeight="1">
      <c r="A4" s="2" t="s">
        <v>49</v>
      </c>
      <c r="B4" s="3" t="s">
        <v>33</v>
      </c>
      <c r="C4" s="3" t="s">
        <v>34</v>
      </c>
      <c r="D4" s="3" t="s">
        <v>50</v>
      </c>
      <c r="E4" s="4" t="str">
        <f>HYPERLINK("https://imitsu.jp/list/logistics/fba-delivery-agency","https://imitsu.jp/list/logistics/fba-delivery-agency")</f>
        <v>https://imitsu.jp/list/logistics/fba-delivery-agency</v>
      </c>
    </row>
    <row r="5" ht="56.25" customHeight="1">
      <c r="A5" s="2" t="s">
        <v>52</v>
      </c>
      <c r="B5" s="3" t="s">
        <v>53</v>
      </c>
      <c r="C5" s="3" t="s">
        <v>34</v>
      </c>
      <c r="D5" s="3" t="s">
        <v>54</v>
      </c>
      <c r="E5" s="4" t="str">
        <f>HYPERLINK("https://fujilogi.net/blogs/column/fujilogi-columnt-222","https://fujilogi.net/blogs/column/fujilogi-columnt-222")</f>
        <v>https://fujilogi.net/blogs/column/fujilogi-columnt-222</v>
      </c>
    </row>
  </sheetData>
  <hyperlinks>
    <hyperlink ref="E2" r:id="rId1" display="https://logex.jp/rakulogi-fba"/>
    <hyperlink ref="E3" r:id="rId2" display="https://logisp.jp/"/>
    <hyperlink ref="E4" r:id="rId3" display="https://imitsu.jp/list/logistics/fba-delivery-agency"/>
    <hyperlink ref="E5" r:id="rId4" display="https://fujilogi.net/blogs/column/fujilogi-columnt-222"/>
  </hyperlinks>
  <printOptions/>
  <pageMargins left="0.7" right="0.7" top="0.75" bottom="0.75" header="0.3" footer="0.3"/>
  <pageSetup paperSize="1" orientation="portrait"/>
  <headerFooter>
    <oddHeader>&amp;L&amp;C&amp;R</oddHeader>
    <oddFooter>&amp;L&amp;C&amp;R</oddFooter>
  </headerFooter>
  <extLst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511146F8-8D2A-F748-5957-88C20B025A7B}" mc:Ignorable="x14ac xr xr2 xr3">
  <dimension ref="A1:GR1000"/>
  <sheetViews>
    <sheetView topLeftCell="A1" workbookViewId="0">
      <selection activeCell="A1" sqref="A1"/>
    </sheetView>
  </sheetViews>
  <sheetFormatPr defaultRowHeight="15" defaultColWidth="8.8515625" customHeight="1"/>
  <cols>
    <col min="1" max="1" width="22.8515625" customWidth="1"/>
    <col min="2" max="3" width="51.421875" customWidth="1"/>
  </cols>
  <sheetData>
    <row r="1" ht="22.5" customHeight="1">
      <c r="A1" s="1" t="s">
        <v>56</v>
      </c>
      <c r="B1" s="1" t="s">
        <v>57</v>
      </c>
      <c r="C1" s="1" t="s">
        <v>58</v>
      </c>
    </row>
    <row r="2" ht="30" customHeight="1">
      <c r="A2" s="5" t="s">
        <v>59</v>
      </c>
      <c r="B2" s="6" t="s">
        <v>60</v>
      </c>
      <c r="C2" s="6" t="s">
        <v>61</v>
      </c>
    </row>
    <row r="3" ht="30" customHeight="1">
      <c r="A3" s="5" t="s">
        <v>62</v>
      </c>
      <c r="B3" s="6" t="s">
        <v>63</v>
      </c>
      <c r="C3" s="6" t="s">
        <v>64</v>
      </c>
    </row>
    <row r="4" ht="30" customHeight="1">
      <c r="A4" s="5" t="s">
        <v>65</v>
      </c>
      <c r="B4" s="6" t="s">
        <v>66</v>
      </c>
      <c r="C4" s="6" t="s">
        <v>67</v>
      </c>
    </row>
    <row r="5" ht="30" customHeight="1">
      <c r="A5" s="5" t="s">
        <v>68</v>
      </c>
      <c r="B5" s="6" t="s">
        <v>69</v>
      </c>
      <c r="C5" s="6" t="s">
        <v>70</v>
      </c>
    </row>
    <row r="6" ht="30" customHeight="1">
      <c r="A6" s="5" t="s">
        <v>71</v>
      </c>
      <c r="B6" s="6" t="s">
        <v>72</v>
      </c>
      <c r="C6" s="6" t="s">
        <v>10</v>
      </c>
    </row>
    <row r="7" ht="30" customHeight="1">
      <c r="A7" s="5" t="s">
        <v>73</v>
      </c>
      <c r="B7" s="6" t="s">
        <v>74</v>
      </c>
      <c r="C7" s="6" t="s">
        <v>75</v>
      </c>
    </row>
  </sheetData>
  <printOptions/>
  <pageMargins left="0.7" right="0.7" top="0.75" bottom="0.75" header="0.3" footer="0.3"/>
  <pageSetup paperSize="1" orientation="portrait"/>
  <headerFooter>
    <oddHeader>&amp;L&amp;C&amp;R</oddHeader>
    <oddFooter>&amp;L&amp;C&amp;R</oddFooter>
  </headerFooter>
  <extLst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1D5C145F-0A98-D7B5-A5A1-0A09654D430C}" mc:Ignorable="x14ac xr xr2 xr3">
  <dimension ref="A1:GR1000"/>
  <sheetViews>
    <sheetView topLeftCell="A1" workbookViewId="0" tabSelected="1">
      <selection activeCell="A1" sqref="A1"/>
    </sheetView>
  </sheetViews>
  <sheetFormatPr defaultRowHeight="15" defaultColWidth="8.8515625" customHeight="1"/>
  <cols>
    <col min="1" max="1" width="40.00390625" customWidth="1"/>
    <col min="2" max="2" width="51.421875" customWidth="1"/>
  </cols>
  <sheetData>
    <row r="1" ht="22.5" customHeight="1">
      <c r="A1" s="1" t="s">
        <v>76</v>
      </c>
      <c r="B1" s="1" t="s">
        <v>77</v>
      </c>
    </row>
    <row r="2" ht="26.25" customHeight="1">
      <c r="A2" s="6" t="s">
        <v>78</v>
      </c>
      <c r="B2" s="6" t="s">
        <v>79</v>
      </c>
    </row>
    <row r="3" ht="26.25" customHeight="1">
      <c r="A3" s="6" t="s">
        <v>80</v>
      </c>
      <c r="B3" s="6" t="s">
        <v>81</v>
      </c>
    </row>
    <row r="4" ht="26.25" customHeight="1">
      <c r="A4" s="6" t="s">
        <v>82</v>
      </c>
      <c r="B4" s="6" t="s">
        <v>83</v>
      </c>
    </row>
    <row r="5" ht="26.25" customHeight="1">
      <c r="A5" s="6" t="s">
        <v>84</v>
      </c>
      <c r="B5" s="6" t="s">
        <v>40</v>
      </c>
    </row>
    <row r="6" ht="26.25" customHeight="1">
      <c r="A6" s="6" t="s">
        <v>85</v>
      </c>
      <c r="B6" s="6" t="s">
        <v>44</v>
      </c>
    </row>
    <row r="7" ht="26.25" customHeight="1">
      <c r="A7" s="6" t="s">
        <v>86</v>
      </c>
      <c r="B7" s="6" t="s">
        <v>87</v>
      </c>
    </row>
    <row r="9" ht="22.5" customHeight="1">
      <c r="A9" s="7" t="s">
        <v>88</v>
      </c>
    </row>
    <row r="10" ht="45" customHeight="1">
      <c r="A10" s="8">
        <v>1</v>
      </c>
      <c r="B10" s="9" t="s">
        <v>89</v>
      </c>
    </row>
    <row r="11" ht="45" customHeight="1">
      <c r="A11" s="8">
        <v>2</v>
      </c>
      <c r="B11" s="9" t="s">
        <v>90</v>
      </c>
    </row>
    <row r="12" ht="45" customHeight="1">
      <c r="A12" s="8">
        <v>3</v>
      </c>
      <c r="B12" s="9" t="s">
        <v>91</v>
      </c>
    </row>
    <row r="13" ht="45" customHeight="1">
      <c r="A13" s="8">
        <v>4</v>
      </c>
      <c r="B13" s="9" t="s">
        <v>92</v>
      </c>
    </row>
  </sheetData>
  <mergeCells>
    <mergeCell ref="A9:B9"/>
  </mergeCells>
  <printOptions/>
  <pageMargins left="0.7" right="0.7" top="0.75" bottom="0.75" header="0.3" footer="0.3"/>
  <pageSetup paperSize="1" orientation="portrait"/>
  <headerFooter>
    <oddHeader>&amp;L&amp;C&amp;R</oddHeader>
    <oddFooter>&amp;L&amp;C&amp;R</oddFooter>
  </headerFooter>
  <extLst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2026-08-09T14:01:53Z</dcterms:created>
</cp:coreProperties>
</file>