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・凡例" sheetId="1" state="visible" r:id="rId1"/>
    <sheet name="計算機(1商品)" sheetId="2" state="visible" r:id="rId2"/>
    <sheet name="候補一覧(複数SKU)" sheetId="3" state="visible" r:id="rId3"/>
    <sheet name="参考_販売手数料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游ゴシック"/>
      <b val="1"/>
      <color rgb="00FFFFFF"/>
      <sz val="15"/>
    </font>
    <font>
      <name val="游ゴシック"/>
      <b val="1"/>
      <color rgb="00000000"/>
      <sz val="11"/>
    </font>
    <font>
      <name val="游ゴシック"/>
      <color rgb="00000000"/>
      <sz val="11"/>
    </font>
    <font>
      <name val="游ゴシック"/>
      <b val="1"/>
      <color rgb="001F4E79"/>
      <sz val="12"/>
    </font>
    <font>
      <name val="游ゴシック"/>
      <color rgb="00C00000"/>
      <sz val="11"/>
    </font>
    <font>
      <name val="游ゴシック"/>
      <b val="1"/>
      <color rgb="00FFFFFF"/>
      <sz val="12"/>
    </font>
    <font>
      <name val="游ゴシック"/>
      <color rgb="00808080"/>
      <sz val="11"/>
    </font>
    <font>
      <name val="游ゴシック"/>
      <color rgb="00808080"/>
      <sz val="9"/>
    </font>
    <font>
      <name val="游ゴシック"/>
      <b val="1"/>
      <color rgb="00000000"/>
      <sz val="12"/>
    </font>
    <font>
      <name val="游ゴシック"/>
      <b val="1"/>
      <color rgb="00FFFFFF"/>
      <sz val="13"/>
    </font>
    <font>
      <name val="游ゴシック"/>
      <b val="1"/>
      <color rgb="00FFFFFF"/>
      <sz val="10"/>
    </font>
    <font>
      <name val="游ゴシック"/>
      <color rgb="007F7F7F"/>
      <sz val="11"/>
    </font>
    <font>
      <name val="游ゴシック"/>
      <b val="1"/>
      <color rgb="00FFFFFF"/>
      <sz val="11"/>
    </font>
    <font>
      <name val="游ゴシック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E5FF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/>
    </xf>
    <xf numFmtId="49" fontId="3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3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9" fontId="3" fillId="6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right" vertical="center"/>
    </xf>
    <xf numFmtId="0" fontId="7" fillId="0" borderId="0" pivotButton="0" quotePrefix="0" xfId="0"/>
    <xf numFmtId="0" fontId="2" fillId="0" borderId="1" applyAlignment="1" pivotButton="0" quotePrefix="0" xfId="0">
      <alignment vertical="center" wrapText="1"/>
    </xf>
    <xf numFmtId="3" fontId="2" fillId="9" borderId="1" applyAlignment="1" pivotButton="0" quotePrefix="0" xfId="0">
      <alignment horizontal="right" vertical="center"/>
    </xf>
    <xf numFmtId="0" fontId="9" fillId="8" borderId="2" applyAlignment="1" pivotButton="0" quotePrefix="0" xfId="0">
      <alignment vertical="center" wrapText="1"/>
    </xf>
    <xf numFmtId="3" fontId="9" fillId="8" borderId="2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10" fillId="2" borderId="0" applyAlignment="1" pivotButton="0" quotePrefix="0" xfId="0">
      <alignment vertical="center" indent="1"/>
    </xf>
    <xf numFmtId="0" fontId="11" fillId="2" borderId="1" applyAlignment="1" pivotButton="0" quotePrefix="0" xfId="0">
      <alignment horizontal="center" vertical="center" wrapText="1"/>
    </xf>
    <xf numFmtId="49" fontId="12" fillId="3" borderId="1" applyAlignment="1" pivotButton="0" quotePrefix="0" xfId="0">
      <alignment horizontal="left" vertical="center"/>
    </xf>
    <xf numFmtId="3" fontId="12" fillId="3" borderId="1" applyAlignment="1" pivotButton="0" quotePrefix="0" xfId="0">
      <alignment horizontal="right" vertical="center"/>
    </xf>
    <xf numFmtId="9" fontId="12" fillId="3" borderId="1" applyAlignment="1" pivotButton="0" quotePrefix="0" xfId="0">
      <alignment horizontal="right" vertical="center"/>
    </xf>
    <xf numFmtId="3" fontId="12" fillId="6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9" fontId="12" fillId="6" borderId="1" applyAlignment="1" pivotButton="0" quotePrefix="0" xfId="0">
      <alignment horizontal="right" vertical="center"/>
    </xf>
    <xf numFmtId="3" fontId="0" fillId="7" borderId="1" pivotButton="0" quotePrefix="0" xfId="0"/>
    <xf numFmtId="3" fontId="2" fillId="8" borderId="1" pivotButton="0" quotePrefix="0" xfId="0"/>
    <xf numFmtId="3" fontId="0" fillId="5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  <xf numFmtId="49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9" fontId="0" fillId="6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/>
    </xf>
    <xf numFmtId="0" fontId="3" fillId="0" borderId="1" pivotButton="0" quotePrefix="0" xfId="0"/>
    <xf numFmtId="0" fontId="2" fillId="6" borderId="1" applyAlignment="1" pivotButton="0" quotePrefix="0" xfId="0">
      <alignment horizontal="center"/>
    </xf>
    <xf numFmtId="0" fontId="8" fillId="0" borderId="1" pivotButton="0" quotePrefix="0" xfId="0"/>
    <xf numFmtId="0" fontId="1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  <col width="20" customWidth="1" min="4" max="4"/>
  </cols>
  <sheetData>
    <row r="2" ht="30" customHeight="1">
      <c r="B2" s="1" t="inlineStr">
        <is>
          <t xml:space="preserve">  メーカー仕入れ → Amazon FBA｜損益分岐シミュレータ</t>
        </is>
      </c>
    </row>
    <row r="4">
      <c r="B4" s="2" t="inlineStr">
        <is>
          <t>目的</t>
        </is>
      </c>
      <c r="C4" s="3" t="inlineStr">
        <is>
          <t>メーカーに仕入れ値を交渉する前に「いくらで仕入れれば黒字か／目標利益率20%を満たすか」を先に出す。</t>
        </is>
      </c>
    </row>
    <row r="6">
      <c r="B6" s="4" t="inlineStr">
        <is>
          <t>■ セルの色の意味（重要）</t>
        </is>
      </c>
    </row>
    <row r="7" ht="30" customHeight="1">
      <c r="B7" s="5" t="inlineStr">
        <is>
          <t>水色 ＝ あなたが入力</t>
        </is>
      </c>
      <c r="C7" s="6" t="inlineStr">
        <is>
          <t>商品ごとに Keepa / Amazon実ページから拾って入れる（売価・手数料率・FBA配送料など）</t>
        </is>
      </c>
    </row>
    <row r="8" ht="30" customHeight="1">
      <c r="B8" s="7" t="inlineStr">
        <is>
          <t>★黄色 ＝ あなたが実測</t>
        </is>
      </c>
      <c r="C8" s="6" t="inlineStr">
        <is>
          <t>当社固有でどのツールにも無い数字。送料・FBA納品代行(外注)の単価。相見積り等で実測して入れる</t>
        </is>
      </c>
    </row>
    <row r="9" ht="30" customHeight="1">
      <c r="B9" s="8" t="inlineStr">
        <is>
          <t>オレンジ ＝ 見積り後に入力</t>
        </is>
      </c>
      <c r="C9" s="6" t="inlineStr">
        <is>
          <t>メーカーに問い合わせて得た『実際の仕入れ値』。ここを入れると純利益・利益率が検算できる</t>
        </is>
      </c>
    </row>
    <row r="10" ht="30" customHeight="1">
      <c r="B10" s="9" t="inlineStr">
        <is>
          <t>薄黄 ＝ 仮の数字</t>
        </is>
      </c>
      <c r="C10" s="6" t="inlineStr">
        <is>
          <t>既定値を置いてある。あなたの実態に合わせて調整可（保管料・その他経費%）</t>
        </is>
      </c>
    </row>
    <row r="11" ht="30" customHeight="1">
      <c r="B11" s="10" t="inlineStr">
        <is>
          <t>薄緑 ＝ 自動計算</t>
        </is>
      </c>
      <c r="C11" s="6" t="inlineStr">
        <is>
          <t>数式が入っている。触らない</t>
        </is>
      </c>
    </row>
    <row r="12" ht="30" customHeight="1">
      <c r="B12" s="11" t="inlineStr">
        <is>
          <t>濃緑 ＝ 最重要の答え</t>
        </is>
      </c>
      <c r="C12" s="6" t="inlineStr">
        <is>
          <t>損益分岐の仕入れ値／交渉目標の仕入れ値上限。ここを見て交渉する</t>
        </is>
      </c>
    </row>
    <row r="14">
      <c r="B14" s="4" t="inlineStr">
        <is>
          <t>■ 各数字はどこで手に入れるか</t>
        </is>
      </c>
    </row>
    <row r="15" ht="28" customHeight="1">
      <c r="B15" s="12" t="inlineStr">
        <is>
          <t>Amazon売価・月販</t>
        </is>
      </c>
      <c r="C15" s="6" t="inlineStr">
        <is>
          <t>Keepa（契約済）または Amazon 実ページ。相場は変動するので出品直前に再確認</t>
        </is>
      </c>
    </row>
    <row r="16" ht="28" customHeight="1">
      <c r="B16" s="12" t="inlineStr">
        <is>
          <t>販売手数料率(%)</t>
        </is>
      </c>
      <c r="C16" s="6" t="inlineStr">
        <is>
          <t>Amazon公式のカテゴリ別 販売手数料。※料率は改定される→公式で要確認（次シート参考表）</t>
        </is>
      </c>
    </row>
    <row r="17" ht="28" customHeight="1">
      <c r="B17" s="12" t="inlineStr">
        <is>
          <t>FBA配送代行手数料</t>
        </is>
      </c>
      <c r="C17" s="6" t="inlineStr">
        <is>
          <t>Amazon公式『FBA料金シミュレーター』（無料）にASIN/価格を入れると出る。無料Chrome拡張(FBA Calculator Widget)で商品ページから1クリック起動も可</t>
        </is>
      </c>
    </row>
    <row r="18" ht="28" customHeight="1">
      <c r="B18" s="12" t="inlineStr">
        <is>
          <t>★仕入先→倉庫の送料</t>
        </is>
      </c>
      <c r="C18" s="6" t="inlineStr">
        <is>
          <t>当社実測。仕入先の送料条件・実重量から。ツールには無い</t>
        </is>
      </c>
    </row>
    <row r="19" ht="28" customHeight="1">
      <c r="B19" s="12" t="inlineStr">
        <is>
          <t>★FBA納品代行の外注単価</t>
        </is>
      </c>
      <c r="C19" s="6" t="inlineStr">
        <is>
          <t>当社実測。納品代行業者2〜3社に相見積り（検品・ラベル貼付・梱包の1点単価）。ツールには無い</t>
        </is>
      </c>
    </row>
    <row r="20" ht="28" customHeight="1">
      <c r="B20" s="12" t="inlineStr">
        <is>
          <t>仕入れ値</t>
        </is>
      </c>
      <c r="C20" s="6" t="inlineStr">
        <is>
          <t>メーカーへ問い合わせて見積り取得（最後に確定。§4.1＝実連絡は要承認）</t>
        </is>
      </c>
    </row>
    <row r="22">
      <c r="B22" s="4" t="inlineStr">
        <is>
          <t>■ 使い方（3ステップ）</t>
        </is>
      </c>
    </row>
    <row r="23" ht="26" customHeight="1">
      <c r="B23" s="13" t="inlineStr">
        <is>
          <t>① シート『計算機(1商品)』で1つの商品を詳しく試算。水色を埋め、★黄色は実測値を入れる。</t>
        </is>
      </c>
    </row>
    <row r="24" ht="26" customHeight="1">
      <c r="B24" s="13" t="inlineStr">
        <is>
          <t>② 濃緑の【交渉目標 仕入れ値の上限】を確認 → その金額以下で仕入れられるようメーカーと交渉。</t>
        </is>
      </c>
    </row>
    <row r="25" ht="26" customHeight="1">
      <c r="B25" s="13" t="inlineStr">
        <is>
          <t>③ 見積りが来たらオレンジ『実際の仕入れ値』に入力 → 純利益・利益率・判定が出る。複数比較はシート『候補一覧』で。</t>
        </is>
      </c>
    </row>
    <row r="27" ht="30" customHeight="1">
      <c r="B27" s="14" t="inlineStr">
        <is>
          <t>※ この表の数字は仮を含みます。仮のセル(薄黄)や要確認の料率は、確定できたら必ず実値へ差し替えてください（仮を確定として使わない）。</t>
        </is>
      </c>
    </row>
  </sheetData>
  <mergeCells count="18">
    <mergeCell ref="C20:D20"/>
    <mergeCell ref="C12:D12"/>
    <mergeCell ref="C7:D7"/>
    <mergeCell ref="C10:D10"/>
    <mergeCell ref="C16:D16"/>
    <mergeCell ref="C15:D15"/>
    <mergeCell ref="B23:D23"/>
    <mergeCell ref="C11:D11"/>
    <mergeCell ref="B25:D25"/>
    <mergeCell ref="C19:D19"/>
    <mergeCell ref="B2:D2"/>
    <mergeCell ref="B27:D27"/>
    <mergeCell ref="C9:D9"/>
    <mergeCell ref="C17:D17"/>
    <mergeCell ref="C18:D18"/>
    <mergeCell ref="B24:D24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0" customWidth="1" min="4" max="4"/>
    <col width="52" customWidth="1" min="5" max="5"/>
  </cols>
  <sheetData>
    <row r="2" ht="30" customHeight="1">
      <c r="B2" s="1" t="inlineStr">
        <is>
          <t xml:space="preserve">  損益分岐シミュレータ（1商品・詳細）</t>
        </is>
      </c>
    </row>
    <row r="4" ht="26" customHeight="1">
      <c r="B4" s="15" t="inlineStr">
        <is>
          <t>① 入力（水色＝あなたが入力 / ★黄色＝実測 / 薄黄＝仮）</t>
        </is>
      </c>
    </row>
    <row r="5" ht="24" customHeight="1">
      <c r="B5" s="16" t="inlineStr">
        <is>
          <t>商品名 / ASIN</t>
        </is>
      </c>
      <c r="C5" s="17" t="inlineStr">
        <is>
          <t>（例）○○ ステンレスボトル 500ml</t>
        </is>
      </c>
      <c r="D5" s="18" t="inlineStr"/>
      <c r="E5" s="19" t="inlineStr">
        <is>
          <t>識別用メモ</t>
        </is>
      </c>
    </row>
    <row r="6" ht="24" customHeight="1">
      <c r="B6" s="16" t="inlineStr">
        <is>
          <t>① Amazon売価（税込）</t>
        </is>
      </c>
      <c r="C6" s="20" t="n">
        <v>2980</v>
      </c>
      <c r="D6" s="18" t="inlineStr">
        <is>
          <t>円</t>
        </is>
      </c>
      <c r="E6" s="19" t="inlineStr">
        <is>
          <t>Keepa/実ページ。出品直前に再確認</t>
        </is>
      </c>
    </row>
    <row r="7" ht="24" customHeight="1">
      <c r="B7" s="16" t="inlineStr">
        <is>
          <t>② 販売手数料率</t>
        </is>
      </c>
      <c r="C7" s="21" t="n">
        <v>0.15</v>
      </c>
      <c r="D7" s="18" t="inlineStr"/>
      <c r="E7" s="19" t="inlineStr">
        <is>
          <t>公式カテゴリ料率。次シート参考。要確認</t>
        </is>
      </c>
    </row>
    <row r="8" ht="24" customHeight="1">
      <c r="B8" s="16" t="inlineStr">
        <is>
          <t>③ FBA配送代行手数料（1点）</t>
        </is>
      </c>
      <c r="C8" s="20" t="n">
        <v>434</v>
      </c>
      <c r="D8" s="18" t="inlineStr">
        <is>
          <t>円</t>
        </is>
      </c>
      <c r="E8" s="19" t="inlineStr">
        <is>
          <t>公式FBA料金シミュレーターの実額</t>
        </is>
      </c>
    </row>
    <row r="9" ht="24" customHeight="1">
      <c r="B9" s="16" t="inlineStr">
        <is>
          <t>④ FBA在庫保管手数料（1点/概算）</t>
        </is>
      </c>
      <c r="C9" s="22" t="n">
        <v>20</v>
      </c>
      <c r="D9" s="18" t="inlineStr">
        <is>
          <t>円</t>
        </is>
      </c>
      <c r="E9" s="19" t="inlineStr">
        <is>
          <t>仮。標準サイズの月概算。必要なら調整</t>
        </is>
      </c>
    </row>
    <row r="10" ht="24" customHeight="1">
      <c r="B10" s="16" t="inlineStr">
        <is>
          <t>⑤ ★仕入先→倉庫 送料（1点）</t>
        </is>
      </c>
      <c r="C10" s="23" t="n">
        <v>100</v>
      </c>
      <c r="D10" s="18" t="inlineStr">
        <is>
          <t>円</t>
        </is>
      </c>
      <c r="E10" s="19" t="inlineStr">
        <is>
          <t>★実測。仕入先送料÷入数</t>
        </is>
      </c>
    </row>
    <row r="11" ht="24" customHeight="1">
      <c r="B11" s="16" t="inlineStr">
        <is>
          <t>⑥ ★FBA納品代行 外注単価（1点）</t>
        </is>
      </c>
      <c r="C11" s="23" t="n">
        <v>60</v>
      </c>
      <c r="D11" s="18" t="inlineStr">
        <is>
          <t>円</t>
        </is>
      </c>
      <c r="E11" s="19" t="inlineStr">
        <is>
          <t>★実測。相見積り(検品/ラベル/梱包)</t>
        </is>
      </c>
    </row>
    <row r="12" ht="24" customHeight="1">
      <c r="B12" s="16" t="inlineStr">
        <is>
          <t>⑦ その他経費（売価の%）</t>
        </is>
      </c>
      <c r="C12" s="24" t="n">
        <v>0.03</v>
      </c>
      <c r="D12" s="18" t="inlineStr"/>
      <c r="E12" s="19" t="inlineStr">
        <is>
          <t>仮。返品/不良/資材のバッファ</t>
        </is>
      </c>
    </row>
    <row r="13" ht="24" customHeight="1">
      <c r="B13" s="16" t="inlineStr">
        <is>
          <t>⑧ 目標利益率</t>
        </is>
      </c>
      <c r="C13" s="21" t="n">
        <v>0.2</v>
      </c>
      <c r="D13" s="18" t="inlineStr"/>
      <c r="E13" s="19" t="inlineStr">
        <is>
          <t>既定20%</t>
        </is>
      </c>
    </row>
    <row r="15" ht="26" customHeight="1">
      <c r="B15" s="15" t="inlineStr">
        <is>
          <t>② 自動計算（薄緑）</t>
        </is>
      </c>
    </row>
    <row r="16" ht="24" customHeight="1">
      <c r="B16" s="16" t="inlineStr">
        <is>
          <t>販売手数料額 = 売価 × 率</t>
        </is>
      </c>
      <c r="C16" s="25">
        <f>C6*C7</f>
        <v/>
      </c>
      <c r="D16" s="26" t="inlineStr">
        <is>
          <t>円</t>
        </is>
      </c>
    </row>
    <row r="17" ht="24" customHeight="1">
      <c r="B17" s="16" t="inlineStr">
        <is>
          <t>その他経費額 = 売価 × %</t>
        </is>
      </c>
      <c r="C17" s="25">
        <f>C6*C12</f>
        <v/>
      </c>
      <c r="D17" s="26" t="inlineStr">
        <is>
          <t>円</t>
        </is>
      </c>
    </row>
    <row r="18" ht="24" customHeight="1">
      <c r="B18" s="27" t="inlineStr">
        <is>
          <t>諸コスト合計（仕入れ値を除く）</t>
        </is>
      </c>
      <c r="C18" s="28">
        <f>C6*C7+C8+C9+C10+C11+C6*C12</f>
        <v/>
      </c>
      <c r="D18" s="26" t="inlineStr">
        <is>
          <t>円</t>
        </is>
      </c>
    </row>
    <row r="20" ht="26" customHeight="1">
      <c r="B20" s="29" t="inlineStr">
        <is>
          <t>【損益分岐 仕入れ値（利益0）】</t>
        </is>
      </c>
      <c r="C20" s="30">
        <f>C6-C18</f>
        <v/>
      </c>
      <c r="D20" s="26" t="inlineStr">
        <is>
          <t>円</t>
        </is>
      </c>
      <c r="E20" s="19" t="inlineStr">
        <is>
          <t>この値で仕入れると利益ゼロ。これ以上高いと赤字</t>
        </is>
      </c>
    </row>
    <row r="21" ht="26" customHeight="1">
      <c r="B21" s="29" t="inlineStr">
        <is>
          <t>【交渉目標 仕入れ値の上限（目標利益率を達成）】</t>
        </is>
      </c>
      <c r="C21" s="30">
        <f>C6-C18-C6*C13</f>
        <v/>
      </c>
      <c r="D21" s="26" t="inlineStr">
        <is>
          <t>円</t>
        </is>
      </c>
      <c r="E21" s="19" t="inlineStr">
        <is>
          <t>★メーカー交渉のゴール。この金額以下で仕入れれば目標利益率を満たす</t>
        </is>
      </c>
    </row>
    <row r="23" ht="26" customHeight="1">
      <c r="B23" s="15" t="inlineStr">
        <is>
          <t>③ 検算（メーカー見積りが来たら入力）</t>
        </is>
      </c>
    </row>
    <row r="24" ht="24" customHeight="1">
      <c r="B24" s="16" t="inlineStr">
        <is>
          <t>⑨ 実際の仕入れ値（見積り）</t>
        </is>
      </c>
      <c r="C24" s="31" t="n"/>
      <c r="D24" s="18" t="inlineStr">
        <is>
          <t>円</t>
        </is>
      </c>
      <c r="E24" s="19" t="inlineStr">
        <is>
          <t>オレンジ。見積り取得後に入力</t>
        </is>
      </c>
    </row>
    <row r="25" ht="24" customHeight="1">
      <c r="B25" s="16" t="inlineStr">
        <is>
          <t>純利益 = 売価 − 諸コスト − 仕入れ値</t>
        </is>
      </c>
      <c r="C25" s="25">
        <f>IF(C24="","（⑨を入力）",C6-C18-C24)</f>
        <v/>
      </c>
      <c r="D25" s="26" t="inlineStr">
        <is>
          <t>円</t>
        </is>
      </c>
    </row>
    <row r="26" ht="24" customHeight="1">
      <c r="B26" s="16" t="inlineStr">
        <is>
          <t>利益率 = 純利益 ÷ 売価</t>
        </is>
      </c>
      <c r="C26" s="32">
        <f>IF(C24="","",(C6-C18-C24)/C6)</f>
        <v/>
      </c>
      <c r="D26" s="26" t="inlineStr"/>
    </row>
    <row r="27" ht="24" customHeight="1">
      <c r="B27" s="16" t="inlineStr">
        <is>
          <t>ROI = 純利益 ÷ 仕入れ値</t>
        </is>
      </c>
      <c r="C27" s="32">
        <f>IF(C24="","",(C6-C18-C24)/C24)</f>
        <v/>
      </c>
      <c r="D27" s="26" t="inlineStr"/>
    </row>
    <row r="28" ht="24" customHeight="1">
      <c r="B28" s="33" t="inlineStr">
        <is>
          <t>判定</t>
        </is>
      </c>
      <c r="C28" s="34">
        <f>IF(C24="","",IF((C6-C18-C24)/C6&gt;=C13,"◎ 目標達成ライン内","× 未達：仕入れ値を下げる交渉が必要"))</f>
        <v/>
      </c>
    </row>
  </sheetData>
  <mergeCells count="5">
    <mergeCell ref="B23:E23"/>
    <mergeCell ref="C28:E28"/>
    <mergeCell ref="B4:E4"/>
    <mergeCell ref="B15:E15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9" customWidth="1" min="15" max="15"/>
    <col width="20" customWidth="1" min="16" max="16"/>
  </cols>
  <sheetData>
    <row r="1" ht="26" customHeight="1">
      <c r="A1" s="35" t="inlineStr">
        <is>
          <t xml:space="preserve">  候補一覧（複数SKUを横並びで比較）　色の意味は『使い方・凡例』参照</t>
        </is>
      </c>
    </row>
    <row r="2" ht="34" customHeight="1">
      <c r="A2" s="36" t="inlineStr">
        <is>
          <t>商品名/ASIN</t>
        </is>
      </c>
      <c r="B2" s="36" t="inlineStr">
        <is>
          <t>①売価(円)</t>
        </is>
      </c>
      <c r="C2" s="36" t="inlineStr">
        <is>
          <t>②手数料率</t>
        </is>
      </c>
      <c r="D2" s="36" t="inlineStr">
        <is>
          <t>③FBA配送</t>
        </is>
      </c>
      <c r="E2" s="36" t="inlineStr">
        <is>
          <t>④保管(仮)</t>
        </is>
      </c>
      <c r="F2" s="36" t="inlineStr">
        <is>
          <t>⑤★送料</t>
        </is>
      </c>
      <c r="G2" s="36" t="inlineStr">
        <is>
          <t>⑥★納品代行</t>
        </is>
      </c>
      <c r="H2" s="36" t="inlineStr">
        <is>
          <t>⑦その他%(仮)</t>
        </is>
      </c>
      <c r="I2" s="36" t="inlineStr">
        <is>
          <t>⑧目標率</t>
        </is>
      </c>
      <c r="J2" s="36" t="inlineStr">
        <is>
          <t>諸コスト計</t>
        </is>
      </c>
      <c r="K2" s="36" t="inlineStr">
        <is>
          <t>損益分岐
仕入値</t>
        </is>
      </c>
      <c r="L2" s="36" t="inlineStr">
        <is>
          <t>交渉上限
仕入値</t>
        </is>
      </c>
      <c r="M2" s="36" t="inlineStr">
        <is>
          <t>⑨実仕入値
(見積)</t>
        </is>
      </c>
      <c r="N2" s="36" t="inlineStr">
        <is>
          <t>純利益</t>
        </is>
      </c>
      <c r="O2" s="36" t="inlineStr">
        <is>
          <t>利益率</t>
        </is>
      </c>
      <c r="P2" s="36" t="inlineStr">
        <is>
          <t>判定</t>
        </is>
      </c>
    </row>
    <row r="3" ht="20" customHeight="1">
      <c r="A3" s="37" t="inlineStr">
        <is>
          <t>（例）サーモス 水筒 2L</t>
        </is>
      </c>
      <c r="B3" s="38" t="n">
        <v>9500</v>
      </c>
      <c r="C3" s="39" t="n">
        <v>0.15</v>
      </c>
      <c r="D3" s="38" t="n">
        <v>620</v>
      </c>
      <c r="E3" s="40" t="n">
        <v>30</v>
      </c>
      <c r="F3" s="41" t="n">
        <v>150</v>
      </c>
      <c r="G3" s="41" t="n">
        <v>60</v>
      </c>
      <c r="H3" s="42" t="n">
        <v>0.03</v>
      </c>
      <c r="I3" s="39" t="n">
        <v>0.2</v>
      </c>
      <c r="J3" s="43">
        <f>IF(B3="","",B3*C3+D3+E3+F3+G3+B3*H3)</f>
        <v/>
      </c>
      <c r="K3" s="44">
        <f>IF(B3="","",B3-J3)</f>
        <v/>
      </c>
      <c r="L3" s="44">
        <f>IF(B3="","",B3-J3-B3*I3)</f>
        <v/>
      </c>
      <c r="M3" s="45" t="n">
        <v>4380</v>
      </c>
      <c r="N3" s="43">
        <f>IF(OR(B3="",M3=""),"",B3-J3-M3)</f>
        <v/>
      </c>
      <c r="O3" s="46">
        <f>IF(OR(B3="",M3=""),"",(B3-J3-M3)/B3)</f>
        <v/>
      </c>
      <c r="P3" s="47">
        <f>IF(OR(B3="",M3=""),"",IF((B3-J3-M3)/B3&gt;=I3,"◎達成","×未達"))</f>
        <v/>
      </c>
    </row>
    <row r="4" ht="20" customHeight="1">
      <c r="A4" s="48" t="n"/>
      <c r="B4" s="49" t="n"/>
      <c r="C4" s="50" t="n"/>
      <c r="D4" s="49" t="n"/>
      <c r="E4" s="51" t="n"/>
      <c r="F4" s="52" t="n"/>
      <c r="G4" s="52" t="n"/>
      <c r="H4" s="53" t="n"/>
      <c r="I4" s="50" t="n"/>
      <c r="J4" s="43">
        <f>IF(B4="","",B4*C4+D4+E4+F4+G4+B4*H4)</f>
        <v/>
      </c>
      <c r="K4" s="44">
        <f>IF(B4="","",B4-J4)</f>
        <v/>
      </c>
      <c r="L4" s="44">
        <f>IF(B4="","",B4-J4-B4*I4)</f>
        <v/>
      </c>
      <c r="M4" s="45" t="n"/>
      <c r="N4" s="43">
        <f>IF(OR(B4="",M4=""),"",B4-J4-M4)</f>
        <v/>
      </c>
      <c r="O4" s="46">
        <f>IF(OR(B4="",M4=""),"",(B4-J4-M4)/B4)</f>
        <v/>
      </c>
      <c r="P4" s="47">
        <f>IF(OR(B4="",M4=""),"",IF((B4-J4-M4)/B4&gt;=I4,"◎達成","×未達"))</f>
        <v/>
      </c>
    </row>
    <row r="5" ht="20" customHeight="1">
      <c r="A5" s="48" t="n"/>
      <c r="B5" s="49" t="n"/>
      <c r="C5" s="50" t="n"/>
      <c r="D5" s="49" t="n"/>
      <c r="E5" s="51" t="n"/>
      <c r="F5" s="52" t="n"/>
      <c r="G5" s="52" t="n"/>
      <c r="H5" s="53" t="n"/>
      <c r="I5" s="50" t="n"/>
      <c r="J5" s="43">
        <f>IF(B5="","",B5*C5+D5+E5+F5+G5+B5*H5)</f>
        <v/>
      </c>
      <c r="K5" s="44">
        <f>IF(B5="","",B5-J5)</f>
        <v/>
      </c>
      <c r="L5" s="44">
        <f>IF(B5="","",B5-J5-B5*I5)</f>
        <v/>
      </c>
      <c r="M5" s="45" t="n"/>
      <c r="N5" s="43">
        <f>IF(OR(B5="",M5=""),"",B5-J5-M5)</f>
        <v/>
      </c>
      <c r="O5" s="46">
        <f>IF(OR(B5="",M5=""),"",(B5-J5-M5)/B5)</f>
        <v/>
      </c>
      <c r="P5" s="47">
        <f>IF(OR(B5="",M5=""),"",IF((B5-J5-M5)/B5&gt;=I5,"◎達成","×未達"))</f>
        <v/>
      </c>
    </row>
    <row r="6" ht="20" customHeight="1">
      <c r="A6" s="48" t="n"/>
      <c r="B6" s="49" t="n"/>
      <c r="C6" s="50" t="n"/>
      <c r="D6" s="49" t="n"/>
      <c r="E6" s="51" t="n"/>
      <c r="F6" s="52" t="n"/>
      <c r="G6" s="52" t="n"/>
      <c r="H6" s="53" t="n"/>
      <c r="I6" s="50" t="n"/>
      <c r="J6" s="43">
        <f>IF(B6="","",B6*C6+D6+E6+F6+G6+B6*H6)</f>
        <v/>
      </c>
      <c r="K6" s="44">
        <f>IF(B6="","",B6-J6)</f>
        <v/>
      </c>
      <c r="L6" s="44">
        <f>IF(B6="","",B6-J6-B6*I6)</f>
        <v/>
      </c>
      <c r="M6" s="45" t="n"/>
      <c r="N6" s="43">
        <f>IF(OR(B6="",M6=""),"",B6-J6-M6)</f>
        <v/>
      </c>
      <c r="O6" s="46">
        <f>IF(OR(B6="",M6=""),"",(B6-J6-M6)/B6)</f>
        <v/>
      </c>
      <c r="P6" s="47">
        <f>IF(OR(B6="",M6=""),"",IF((B6-J6-M6)/B6&gt;=I6,"◎達成","×未達"))</f>
        <v/>
      </c>
    </row>
    <row r="7" ht="20" customHeight="1">
      <c r="A7" s="48" t="n"/>
      <c r="B7" s="49" t="n"/>
      <c r="C7" s="50" t="n"/>
      <c r="D7" s="49" t="n"/>
      <c r="E7" s="51" t="n"/>
      <c r="F7" s="52" t="n"/>
      <c r="G7" s="52" t="n"/>
      <c r="H7" s="53" t="n"/>
      <c r="I7" s="50" t="n"/>
      <c r="J7" s="43">
        <f>IF(B7="","",B7*C7+D7+E7+F7+G7+B7*H7)</f>
        <v/>
      </c>
      <c r="K7" s="44">
        <f>IF(B7="","",B7-J7)</f>
        <v/>
      </c>
      <c r="L7" s="44">
        <f>IF(B7="","",B7-J7-B7*I7)</f>
        <v/>
      </c>
      <c r="M7" s="45" t="n"/>
      <c r="N7" s="43">
        <f>IF(OR(B7="",M7=""),"",B7-J7-M7)</f>
        <v/>
      </c>
      <c r="O7" s="46">
        <f>IF(OR(B7="",M7=""),"",(B7-J7-M7)/B7)</f>
        <v/>
      </c>
      <c r="P7" s="47">
        <f>IF(OR(B7="",M7=""),"",IF((B7-J7-M7)/B7&gt;=I7,"◎達成","×未達"))</f>
        <v/>
      </c>
    </row>
    <row r="8" ht="20" customHeight="1">
      <c r="A8" s="48" t="n"/>
      <c r="B8" s="49" t="n"/>
      <c r="C8" s="50" t="n"/>
      <c r="D8" s="49" t="n"/>
      <c r="E8" s="51" t="n"/>
      <c r="F8" s="52" t="n"/>
      <c r="G8" s="52" t="n"/>
      <c r="H8" s="53" t="n"/>
      <c r="I8" s="50" t="n"/>
      <c r="J8" s="43">
        <f>IF(B8="","",B8*C8+D8+E8+F8+G8+B8*H8)</f>
        <v/>
      </c>
      <c r="K8" s="44">
        <f>IF(B8="","",B8-J8)</f>
        <v/>
      </c>
      <c r="L8" s="44">
        <f>IF(B8="","",B8-J8-B8*I8)</f>
        <v/>
      </c>
      <c r="M8" s="45" t="n"/>
      <c r="N8" s="43">
        <f>IF(OR(B8="",M8=""),"",B8-J8-M8)</f>
        <v/>
      </c>
      <c r="O8" s="46">
        <f>IF(OR(B8="",M8=""),"",(B8-J8-M8)/B8)</f>
        <v/>
      </c>
      <c r="P8" s="47">
        <f>IF(OR(B8="",M8=""),"",IF((B8-J8-M8)/B8&gt;=I8,"◎達成","×未達"))</f>
        <v/>
      </c>
    </row>
    <row r="9" ht="20" customHeight="1">
      <c r="A9" s="48" t="n"/>
      <c r="B9" s="49" t="n"/>
      <c r="C9" s="50" t="n"/>
      <c r="D9" s="49" t="n"/>
      <c r="E9" s="51" t="n"/>
      <c r="F9" s="52" t="n"/>
      <c r="G9" s="52" t="n"/>
      <c r="H9" s="53" t="n"/>
      <c r="I9" s="50" t="n"/>
      <c r="J9" s="43">
        <f>IF(B9="","",B9*C9+D9+E9+F9+G9+B9*H9)</f>
        <v/>
      </c>
      <c r="K9" s="44">
        <f>IF(B9="","",B9-J9)</f>
        <v/>
      </c>
      <c r="L9" s="44">
        <f>IF(B9="","",B9-J9-B9*I9)</f>
        <v/>
      </c>
      <c r="M9" s="45" t="n"/>
      <c r="N9" s="43">
        <f>IF(OR(B9="",M9=""),"",B9-J9-M9)</f>
        <v/>
      </c>
      <c r="O9" s="46">
        <f>IF(OR(B9="",M9=""),"",(B9-J9-M9)/B9)</f>
        <v/>
      </c>
      <c r="P9" s="47">
        <f>IF(OR(B9="",M9=""),"",IF((B9-J9-M9)/B9&gt;=I9,"◎達成","×未達"))</f>
        <v/>
      </c>
    </row>
    <row r="10" ht="20" customHeight="1">
      <c r="A10" s="48" t="n"/>
      <c r="B10" s="49" t="n"/>
      <c r="C10" s="50" t="n"/>
      <c r="D10" s="49" t="n"/>
      <c r="E10" s="51" t="n"/>
      <c r="F10" s="52" t="n"/>
      <c r="G10" s="52" t="n"/>
      <c r="H10" s="53" t="n"/>
      <c r="I10" s="50" t="n"/>
      <c r="J10" s="43">
        <f>IF(B10="","",B10*C10+D10+E10+F10+G10+B10*H10)</f>
        <v/>
      </c>
      <c r="K10" s="44">
        <f>IF(B10="","",B10-J10)</f>
        <v/>
      </c>
      <c r="L10" s="44">
        <f>IF(B10="","",B10-J10-B10*I10)</f>
        <v/>
      </c>
      <c r="M10" s="45" t="n"/>
      <c r="N10" s="43">
        <f>IF(OR(B10="",M10=""),"",B10-J10-M10)</f>
        <v/>
      </c>
      <c r="O10" s="46">
        <f>IF(OR(B10="",M10=""),"",(B10-J10-M10)/B10)</f>
        <v/>
      </c>
      <c r="P10" s="47">
        <f>IF(OR(B10="",M10=""),"",IF((B10-J10-M10)/B10&gt;=I10,"◎達成","×未達"))</f>
        <v/>
      </c>
    </row>
    <row r="11" ht="20" customHeight="1">
      <c r="A11" s="48" t="n"/>
      <c r="B11" s="49" t="n"/>
      <c r="C11" s="50" t="n"/>
      <c r="D11" s="49" t="n"/>
      <c r="E11" s="51" t="n"/>
      <c r="F11" s="52" t="n"/>
      <c r="G11" s="52" t="n"/>
      <c r="H11" s="53" t="n"/>
      <c r="I11" s="50" t="n"/>
      <c r="J11" s="43">
        <f>IF(B11="","",B11*C11+D11+E11+F11+G11+B11*H11)</f>
        <v/>
      </c>
      <c r="K11" s="44">
        <f>IF(B11="","",B11-J11)</f>
        <v/>
      </c>
      <c r="L11" s="44">
        <f>IF(B11="","",B11-J11-B11*I11)</f>
        <v/>
      </c>
      <c r="M11" s="45" t="n"/>
      <c r="N11" s="43">
        <f>IF(OR(B11="",M11=""),"",B11-J11-M11)</f>
        <v/>
      </c>
      <c r="O11" s="46">
        <f>IF(OR(B11="",M11=""),"",(B11-J11-M11)/B11)</f>
        <v/>
      </c>
      <c r="P11" s="47">
        <f>IF(OR(B11="",M11=""),"",IF((B11-J11-M11)/B11&gt;=I11,"◎達成","×未達"))</f>
        <v/>
      </c>
    </row>
    <row r="12" ht="20" customHeight="1">
      <c r="A12" s="48" t="n"/>
      <c r="B12" s="49" t="n"/>
      <c r="C12" s="50" t="n"/>
      <c r="D12" s="49" t="n"/>
      <c r="E12" s="51" t="n"/>
      <c r="F12" s="52" t="n"/>
      <c r="G12" s="52" t="n"/>
      <c r="H12" s="53" t="n"/>
      <c r="I12" s="50" t="n"/>
      <c r="J12" s="43">
        <f>IF(B12="","",B12*C12+D12+E12+F12+G12+B12*H12)</f>
        <v/>
      </c>
      <c r="K12" s="44">
        <f>IF(B12="","",B12-J12)</f>
        <v/>
      </c>
      <c r="L12" s="44">
        <f>IF(B12="","",B12-J12-B12*I12)</f>
        <v/>
      </c>
      <c r="M12" s="45" t="n"/>
      <c r="N12" s="43">
        <f>IF(OR(B12="",M12=""),"",B12-J12-M12)</f>
        <v/>
      </c>
      <c r="O12" s="46">
        <f>IF(OR(B12="",M12=""),"",(B12-J12-M12)/B12)</f>
        <v/>
      </c>
      <c r="P12" s="47">
        <f>IF(OR(B12="",M12=""),"",IF((B12-J12-M12)/B12&gt;=I12,"◎達成","×未達"))</f>
        <v/>
      </c>
    </row>
    <row r="13" ht="20" customHeight="1">
      <c r="A13" s="48" t="n"/>
      <c r="B13" s="49" t="n"/>
      <c r="C13" s="50" t="n"/>
      <c r="D13" s="49" t="n"/>
      <c r="E13" s="51" t="n"/>
      <c r="F13" s="52" t="n"/>
      <c r="G13" s="52" t="n"/>
      <c r="H13" s="53" t="n"/>
      <c r="I13" s="50" t="n"/>
      <c r="J13" s="43">
        <f>IF(B13="","",B13*C13+D13+E13+F13+G13+B13*H13)</f>
        <v/>
      </c>
      <c r="K13" s="44">
        <f>IF(B13="","",B13-J13)</f>
        <v/>
      </c>
      <c r="L13" s="44">
        <f>IF(B13="","",B13-J13-B13*I13)</f>
        <v/>
      </c>
      <c r="M13" s="45" t="n"/>
      <c r="N13" s="43">
        <f>IF(OR(B13="",M13=""),"",B13-J13-M13)</f>
        <v/>
      </c>
      <c r="O13" s="46">
        <f>IF(OR(B13="",M13=""),"",(B13-J13-M13)/B13)</f>
        <v/>
      </c>
      <c r="P13" s="47">
        <f>IF(OR(B13="",M13=""),"",IF((B13-J13-M13)/B13&gt;=I13,"◎達成","×未達"))</f>
        <v/>
      </c>
    </row>
    <row r="14" ht="20" customHeight="1">
      <c r="A14" s="48" t="n"/>
      <c r="B14" s="49" t="n"/>
      <c r="C14" s="50" t="n"/>
      <c r="D14" s="49" t="n"/>
      <c r="E14" s="51" t="n"/>
      <c r="F14" s="52" t="n"/>
      <c r="G14" s="52" t="n"/>
      <c r="H14" s="53" t="n"/>
      <c r="I14" s="50" t="n"/>
      <c r="J14" s="43">
        <f>IF(B14="","",B14*C14+D14+E14+F14+G14+B14*H14)</f>
        <v/>
      </c>
      <c r="K14" s="44">
        <f>IF(B14="","",B14-J14)</f>
        <v/>
      </c>
      <c r="L14" s="44">
        <f>IF(B14="","",B14-J14-B14*I14)</f>
        <v/>
      </c>
      <c r="M14" s="45" t="n"/>
      <c r="N14" s="43">
        <f>IF(OR(B14="",M14=""),"",B14-J14-M14)</f>
        <v/>
      </c>
      <c r="O14" s="46">
        <f>IF(OR(B14="",M14=""),"",(B14-J14-M14)/B14)</f>
        <v/>
      </c>
      <c r="P14" s="47">
        <f>IF(OR(B14="",M14=""),"",IF((B14-J14-M14)/B14&gt;=I14,"◎達成","×未達"))</f>
        <v/>
      </c>
    </row>
    <row r="15" ht="20" customHeight="1">
      <c r="A15" s="48" t="n"/>
      <c r="B15" s="49" t="n"/>
      <c r="C15" s="50" t="n"/>
      <c r="D15" s="49" t="n"/>
      <c r="E15" s="51" t="n"/>
      <c r="F15" s="52" t="n"/>
      <c r="G15" s="52" t="n"/>
      <c r="H15" s="53" t="n"/>
      <c r="I15" s="50" t="n"/>
      <c r="J15" s="43">
        <f>IF(B15="","",B15*C15+D15+E15+F15+G15+B15*H15)</f>
        <v/>
      </c>
      <c r="K15" s="44">
        <f>IF(B15="","",B15-J15)</f>
        <v/>
      </c>
      <c r="L15" s="44">
        <f>IF(B15="","",B15-J15-B15*I15)</f>
        <v/>
      </c>
      <c r="M15" s="45" t="n"/>
      <c r="N15" s="43">
        <f>IF(OR(B15="",M15=""),"",B15-J15-M15)</f>
        <v/>
      </c>
      <c r="O15" s="46">
        <f>IF(OR(B15="",M15=""),"",(B15-J15-M15)/B15)</f>
        <v/>
      </c>
      <c r="P15" s="47">
        <f>IF(OR(B15="",M15=""),"",IF((B15-J15-M15)/B15&gt;=I15,"◎達成","×未達"))</f>
        <v/>
      </c>
    </row>
    <row r="16" ht="20" customHeight="1">
      <c r="A16" s="48" t="n"/>
      <c r="B16" s="49" t="n"/>
      <c r="C16" s="50" t="n"/>
      <c r="D16" s="49" t="n"/>
      <c r="E16" s="51" t="n"/>
      <c r="F16" s="52" t="n"/>
      <c r="G16" s="52" t="n"/>
      <c r="H16" s="53" t="n"/>
      <c r="I16" s="50" t="n"/>
      <c r="J16" s="43">
        <f>IF(B16="","",B16*C16+D16+E16+F16+G16+B16*H16)</f>
        <v/>
      </c>
      <c r="K16" s="44">
        <f>IF(B16="","",B16-J16)</f>
        <v/>
      </c>
      <c r="L16" s="44">
        <f>IF(B16="","",B16-J16-B16*I16)</f>
        <v/>
      </c>
      <c r="M16" s="45" t="n"/>
      <c r="N16" s="43">
        <f>IF(OR(B16="",M16=""),"",B16-J16-M16)</f>
        <v/>
      </c>
      <c r="O16" s="46">
        <f>IF(OR(B16="",M16=""),"",(B16-J16-M16)/B16)</f>
        <v/>
      </c>
      <c r="P16" s="47">
        <f>IF(OR(B16="",M16=""),"",IF((B16-J16-M16)/B16&gt;=I16,"◎達成","×未達"))</f>
        <v/>
      </c>
    </row>
    <row r="17" ht="20" customHeight="1">
      <c r="A17" s="48" t="n"/>
      <c r="B17" s="49" t="n"/>
      <c r="C17" s="50" t="n"/>
      <c r="D17" s="49" t="n"/>
      <c r="E17" s="51" t="n"/>
      <c r="F17" s="52" t="n"/>
      <c r="G17" s="52" t="n"/>
      <c r="H17" s="53" t="n"/>
      <c r="I17" s="50" t="n"/>
      <c r="J17" s="43">
        <f>IF(B17="","",B17*C17+D17+E17+F17+G17+B17*H17)</f>
        <v/>
      </c>
      <c r="K17" s="44">
        <f>IF(B17="","",B17-J17)</f>
        <v/>
      </c>
      <c r="L17" s="44">
        <f>IF(B17="","",B17-J17-B17*I17)</f>
        <v/>
      </c>
      <c r="M17" s="45" t="n"/>
      <c r="N17" s="43">
        <f>IF(OR(B17="",M17=""),"",B17-J17-M17)</f>
        <v/>
      </c>
      <c r="O17" s="46">
        <f>IF(OR(B17="",M17=""),"",(B17-J17-M17)/B17)</f>
        <v/>
      </c>
      <c r="P17" s="47">
        <f>IF(OR(B17="",M17=""),"",IF((B17-J17-M17)/B17&gt;=I17,"◎達成","×未達"))</f>
        <v/>
      </c>
    </row>
    <row r="18" ht="20" customHeight="1">
      <c r="A18" s="48" t="n"/>
      <c r="B18" s="49" t="n"/>
      <c r="C18" s="50" t="n"/>
      <c r="D18" s="49" t="n"/>
      <c r="E18" s="51" t="n"/>
      <c r="F18" s="52" t="n"/>
      <c r="G18" s="52" t="n"/>
      <c r="H18" s="53" t="n"/>
      <c r="I18" s="50" t="n"/>
      <c r="J18" s="43">
        <f>IF(B18="","",B18*C18+D18+E18+F18+G18+B18*H18)</f>
        <v/>
      </c>
      <c r="K18" s="44">
        <f>IF(B18="","",B18-J18)</f>
        <v/>
      </c>
      <c r="L18" s="44">
        <f>IF(B18="","",B18-J18-B18*I18)</f>
        <v/>
      </c>
      <c r="M18" s="45" t="n"/>
      <c r="N18" s="43">
        <f>IF(OR(B18="",M18=""),"",B18-J18-M18)</f>
        <v/>
      </c>
      <c r="O18" s="46">
        <f>IF(OR(B18="",M18=""),"",(B18-J18-M18)/B18)</f>
        <v/>
      </c>
      <c r="P18" s="47">
        <f>IF(OR(B18="",M18=""),"",IF((B18-J18-M18)/B18&gt;=I18,"◎達成","×未達"))</f>
        <v/>
      </c>
    </row>
    <row r="19" ht="20" customHeight="1">
      <c r="A19" s="48" t="n"/>
      <c r="B19" s="49" t="n"/>
      <c r="C19" s="50" t="n"/>
      <c r="D19" s="49" t="n"/>
      <c r="E19" s="51" t="n"/>
      <c r="F19" s="52" t="n"/>
      <c r="G19" s="52" t="n"/>
      <c r="H19" s="53" t="n"/>
      <c r="I19" s="50" t="n"/>
      <c r="J19" s="43">
        <f>IF(B19="","",B19*C19+D19+E19+F19+G19+B19*H19)</f>
        <v/>
      </c>
      <c r="K19" s="44">
        <f>IF(B19="","",B19-J19)</f>
        <v/>
      </c>
      <c r="L19" s="44">
        <f>IF(B19="","",B19-J19-B19*I19)</f>
        <v/>
      </c>
      <c r="M19" s="45" t="n"/>
      <c r="N19" s="43">
        <f>IF(OR(B19="",M19=""),"",B19-J19-M19)</f>
        <v/>
      </c>
      <c r="O19" s="46">
        <f>IF(OR(B19="",M19=""),"",(B19-J19-M19)/B19)</f>
        <v/>
      </c>
      <c r="P19" s="47">
        <f>IF(OR(B19="",M19=""),"",IF((B19-J19-M19)/B19&gt;=I19,"◎達成","×未達"))</f>
        <v/>
      </c>
    </row>
    <row r="20" ht="20" customHeight="1">
      <c r="A20" s="48" t="n"/>
      <c r="B20" s="49" t="n"/>
      <c r="C20" s="50" t="n"/>
      <c r="D20" s="49" t="n"/>
      <c r="E20" s="51" t="n"/>
      <c r="F20" s="52" t="n"/>
      <c r="G20" s="52" t="n"/>
      <c r="H20" s="53" t="n"/>
      <c r="I20" s="50" t="n"/>
      <c r="J20" s="43">
        <f>IF(B20="","",B20*C20+D20+E20+F20+G20+B20*H20)</f>
        <v/>
      </c>
      <c r="K20" s="44">
        <f>IF(B20="","",B20-J20)</f>
        <v/>
      </c>
      <c r="L20" s="44">
        <f>IF(B20="","",B20-J20-B20*I20)</f>
        <v/>
      </c>
      <c r="M20" s="45" t="n"/>
      <c r="N20" s="43">
        <f>IF(OR(B20="",M20=""),"",B20-J20-M20)</f>
        <v/>
      </c>
      <c r="O20" s="46">
        <f>IF(OR(B20="",M20=""),"",(B20-J20-M20)/B20)</f>
        <v/>
      </c>
      <c r="P20" s="47">
        <f>IF(OR(B20="",M20=""),"",IF((B20-J20-M20)/B20&gt;=I20,"◎達成","×未達"))</f>
        <v/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60" customWidth="1" min="4" max="4"/>
  </cols>
  <sheetData>
    <row r="2" ht="30" customHeight="1">
      <c r="B2" s="1" t="inlineStr">
        <is>
          <t xml:space="preserve">  参考：Amazon.co.jp 主要カテゴリ 販売手数料率（目安・要確認）</t>
        </is>
      </c>
    </row>
    <row r="4" ht="34" customHeight="1">
      <c r="B4" s="14" t="inlineStr">
        <is>
          <t>※ 料率は改定され、売価帯で変動・下限あり（例：一部は最低¥30/点）。必ず公式『Amazonの販売手数料』ページで最新を確認し、シートの②へ入れてください。</t>
        </is>
      </c>
    </row>
    <row r="6">
      <c r="B6" s="54" t="inlineStr">
        <is>
          <t>カテゴリ</t>
        </is>
      </c>
      <c r="C6" s="54" t="inlineStr">
        <is>
          <t>手数料率(目安)</t>
        </is>
      </c>
      <c r="D6" s="54" t="inlineStr">
        <is>
          <t>備考</t>
        </is>
      </c>
    </row>
    <row r="7">
      <c r="B7" s="55" t="inlineStr">
        <is>
          <t>家電（テレビ/オーディオ等）</t>
        </is>
      </c>
      <c r="C7" s="56" t="inlineStr">
        <is>
          <t>8%</t>
        </is>
      </c>
      <c r="D7" s="57" t="inlineStr"/>
    </row>
    <row r="8">
      <c r="B8" s="55" t="inlineStr">
        <is>
          <t>カメラ</t>
        </is>
      </c>
      <c r="C8" s="56" t="inlineStr">
        <is>
          <t>8%</t>
        </is>
      </c>
      <c r="D8" s="57" t="inlineStr"/>
    </row>
    <row r="9">
      <c r="B9" s="55" t="inlineStr">
        <is>
          <t>パソコン・周辺機器</t>
        </is>
      </c>
      <c r="C9" s="56" t="inlineStr">
        <is>
          <t>8%</t>
        </is>
      </c>
      <c r="D9" s="57" t="inlineStr"/>
    </row>
    <row r="10">
      <c r="B10" s="55" t="inlineStr">
        <is>
          <t>エレクトロニクス（その他）</t>
        </is>
      </c>
      <c r="C10" s="56" t="inlineStr">
        <is>
          <t>8%</t>
        </is>
      </c>
      <c r="D10" s="57" t="inlineStr"/>
    </row>
    <row r="11">
      <c r="B11" s="55" t="inlineStr">
        <is>
          <t>ホーム&amp;キッチン / 家庭用品</t>
        </is>
      </c>
      <c r="C11" s="56" t="inlineStr">
        <is>
          <t>15%</t>
        </is>
      </c>
      <c r="D11" s="57" t="inlineStr">
        <is>
          <t>日用雑貨・キッチン用品など</t>
        </is>
      </c>
    </row>
    <row r="12">
      <c r="B12" s="55" t="inlineStr">
        <is>
          <t>おもちゃ&amp;ホビー</t>
        </is>
      </c>
      <c r="C12" s="56" t="inlineStr">
        <is>
          <t>15%</t>
        </is>
      </c>
      <c r="D12" s="57" t="inlineStr"/>
    </row>
    <row r="13">
      <c r="B13" s="55" t="inlineStr">
        <is>
          <t>スポーツ&amp;アウトドア</t>
        </is>
      </c>
      <c r="C13" s="56" t="inlineStr">
        <is>
          <t>15%</t>
        </is>
      </c>
      <c r="D13" s="57" t="inlineStr"/>
    </row>
    <row r="14">
      <c r="B14" s="55" t="inlineStr">
        <is>
          <t>文房具・オフィス用品</t>
        </is>
      </c>
      <c r="C14" s="56" t="inlineStr">
        <is>
          <t>15%</t>
        </is>
      </c>
      <c r="D14" s="57" t="inlineStr"/>
    </row>
    <row r="15">
      <c r="B15" s="55" t="inlineStr">
        <is>
          <t>ドラッグストア・ビューティー</t>
        </is>
      </c>
      <c r="C15" s="56" t="inlineStr">
        <is>
          <t>10%</t>
        </is>
      </c>
      <c r="D15" s="57" t="inlineStr">
        <is>
          <t>※¥1,500以下は率が下がる例外あり</t>
        </is>
      </c>
    </row>
    <row r="16">
      <c r="B16" s="55" t="inlineStr">
        <is>
          <t>食品&amp;飲料</t>
        </is>
      </c>
      <c r="C16" s="56" t="inlineStr">
        <is>
          <t>10%</t>
        </is>
      </c>
      <c r="D16" s="57" t="inlineStr">
        <is>
          <t>※¥1,500以下は8%等の例外あり</t>
        </is>
      </c>
    </row>
    <row r="17">
      <c r="B17" s="55" t="inlineStr">
        <is>
          <t>ペット用品</t>
        </is>
      </c>
      <c r="C17" s="56" t="inlineStr">
        <is>
          <t>15%</t>
        </is>
      </c>
      <c r="D17" s="57" t="inlineStr"/>
    </row>
    <row r="18">
      <c r="B18" s="55" t="inlineStr">
        <is>
          <t>DIY・工具</t>
        </is>
      </c>
      <c r="C18" s="56" t="inlineStr">
        <is>
          <t>15%</t>
        </is>
      </c>
      <c r="D18" s="57" t="inlineStr"/>
    </row>
    <row r="19">
      <c r="B19" s="55" t="inlineStr">
        <is>
          <t>本 / CD / DVD</t>
        </is>
      </c>
      <c r="C19" s="56" t="inlineStr">
        <is>
          <t>15%</t>
        </is>
      </c>
      <c r="D19" s="57" t="inlineStr"/>
    </row>
    <row r="20">
      <c r="B20" s="55" t="inlineStr">
        <is>
          <t>服&amp;ファッション小物</t>
        </is>
      </c>
      <c r="C20" s="56" t="inlineStr">
        <is>
          <t>一部12〜15%</t>
        </is>
      </c>
      <c r="D20" s="57" t="inlineStr">
        <is>
          <t>売価帯で変動</t>
        </is>
      </c>
    </row>
    <row r="22">
      <c r="B22" s="58" t="inlineStr">
        <is>
          <t>■ FBA配送代行手数料について</t>
        </is>
      </c>
    </row>
    <row r="23" ht="48" customHeight="1">
      <c r="B23" s="59" t="inlineStr">
        <is>
          <t>サイズ区分（寸法・重量）で決まり、標準/大型で金額が変わります。正確な実額は無料の『Amazon FBA料金シミュレーター』にASINか商品を入れて取得し、計算機シートの③へ入れてください。無料Chrome拡張『FBA Calculator Widget』を使うとAmazon商品ページから1クリックで開けます。</t>
        </is>
      </c>
    </row>
  </sheetData>
  <mergeCells count="3">
    <mergeCell ref="B23:D2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2026-08-11T12:13:09Z</dcterms:created>
  <dcterms:modified xsi:type="dcterms:W3CDTF">2026-08-11T12:13:09Z</dcterms:modified>
</cp:coreProperties>
</file>