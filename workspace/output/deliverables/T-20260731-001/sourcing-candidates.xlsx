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前提と免責" sheetId="1" state="visible" r:id="rId1"/>
    <sheet name="1_仕入れ候補" sheetId="2" state="visible" r:id="rId2"/>
    <sheet name="2_選定ロジック" sheetId="3" state="visible" r:id="rId3"/>
    <sheet name="3_避けるカテゴ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55555"/>
      <sz val="10"/>
    </font>
    <font>
      <name val="Arial"/>
      <b val="1"/>
      <color rgb="00C00000"/>
      <sz val="13"/>
    </font>
    <font>
      <name val="Arial"/>
      <color rgb="00000000"/>
      <sz val="11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1F3864"/>
      <sz val="14"/>
    </font>
    <font>
      <name val="Arial"/>
      <b val="1"/>
      <color rgb="00000000"/>
      <sz val="11"/>
    </font>
    <font>
      <name val="Arial"/>
      <b val="1"/>
      <color rgb="001F3864"/>
      <sz val="11"/>
    </font>
    <font>
      <name val="Arial"/>
      <i val="1"/>
      <color rgb="00000000"/>
      <sz val="10"/>
    </font>
    <font>
      <name val="Arial"/>
      <b val="1"/>
      <color rgb="00C00000"/>
      <sz val="14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1" fontId="7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カズヨ</author>
  </authors>
  <commentList>
    <comment ref="E1" authorId="0" shapeId="0">
      <text>
        <t>想定値（仮置き）。実相場ではありません。Keepa/仕入れ先の実価格で上書きしてください。</t>
      </text>
    </comment>
    <comment ref="K1" authorId="0" shapeId="0">
      <text>
        <t>粗利率 = 粗利/個 ÷ 想定販売価格。青字の想定値を実際の相場に書き換えると自動再計算されます。目標は中央シナリオで20%以上。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Amazon仕入れせどり ｜ 初期仕入れ候補ショートリスト</t>
        </is>
      </c>
    </row>
    <row r="3">
      <c r="B3" s="2" t="inlineStr">
        <is>
          <t>作成: 秘書カズヨ　/　作成日: 2026-07-31　/　チケット: T-20260731-001</t>
        </is>
      </c>
    </row>
    <row r="5">
      <c r="B5" s="3" t="inlineStr">
        <is>
          <t>⚠ 重要な免責（必ずお読みください）</t>
        </is>
      </c>
    </row>
    <row r="6" ht="200" customHeight="1">
      <c r="B6" s="4" t="inlineStr">
        <is>
          <t>本リストは【実売データではありません】。
・現時点で Amazon SP-API / Keepa API は本接続されていません（接続済み外部連携は Notion / GitHub / Google / Canva の4系統のみ）。
・Sato-Scope の各データアダプタ（keepa / rakuten / yahoo）は現状すべてモック実装です。
・したがって本リストは、社内に蓄積した『実データであるナレッジ資産』（制限カテゴリ×初心者推奨度／仕入れ先28社×初心者向き度／3商品×3シナリオ収益シミュレーション）から導いた【商品タイプ単位の候補仮説】です。
・各行の仕入単価・販売価格・粗利率は『想定値（仮置き）』であり、実際の相場・月販数・ランキングでの裏取りはしていません。
→ 個別ASIN単位の実データ検証（月販・売値・Drop・競合数）は、Keepa API 接続後（§4.1 課金承認事項）に別チケットで実施します。</t>
        </is>
      </c>
    </row>
    <row r="8">
      <c r="B8" s="5" t="inlineStr">
        <is>
          <t>このブックの読み方</t>
        </is>
      </c>
    </row>
    <row r="9" ht="110" customHeight="1">
      <c r="B9" s="6" t="inlineStr">
        <is>
          <t>・シート「1_仕入れ候補」= 本体。法務リスクが低く初心者が最初に狙いやすい商品タイプを12件収録。
・青字セル = あなたが編集する『想定入力値』（仕入単価・販売価格・手数料率など）。ここを実際の相場に書き換えると粗利率が自動再計算されます。
・粗利/粗利率の列は数式です（手打ちの結果ではありません）。
・シート「2_選定ロジック」= どういう基準で選んだか。
・シート「3_避けるカテゴリ」= 最初は手を出さない方がよい高リスク領域。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22" customWidth="1" min="4" max="4"/>
    <col width="12" customWidth="1" min="5" max="5"/>
    <col width="12" customWidth="1" min="6" max="6"/>
    <col width="10" customWidth="1" min="7" max="7"/>
    <col width="12" customWidth="1" min="8" max="8"/>
    <col width="11" customWidth="1" min="9" max="9"/>
    <col width="11" customWidth="1" min="10" max="10"/>
    <col width="9" customWidth="1" min="11" max="11"/>
    <col width="9" customWidth="1" min="12" max="12"/>
    <col width="22" customWidth="1" min="13" max="13"/>
    <col width="9" customWidth="1" min="14" max="14"/>
    <col width="14" customWidth="1" min="15" max="15"/>
    <col width="46" customWidth="1" min="16" max="16"/>
    <col width="26" customWidth="1" min="17" max="17"/>
    <col width="30" customWidth="1" min="18" max="18"/>
  </cols>
  <sheetData>
    <row r="1">
      <c r="A1" s="7" t="inlineStr">
        <is>
          <t>No</t>
        </is>
      </c>
      <c r="B1" s="7" t="inlineStr">
        <is>
          <t>商品タイプ（例）</t>
        </is>
      </c>
      <c r="C1" s="7" t="inlineStr">
        <is>
          <t>Amazonカテゴリ</t>
        </is>
      </c>
      <c r="D1" s="7" t="inlineStr">
        <is>
          <t>主な仕入れ先(推奨)</t>
        </is>
      </c>
      <c r="E1" s="7" t="inlineStr">
        <is>
          <t>想定仕入単価(円)</t>
        </is>
      </c>
      <c r="F1" s="7" t="inlineStr">
        <is>
          <t>想定販売価格(円)</t>
        </is>
      </c>
      <c r="G1" s="7" t="inlineStr">
        <is>
          <t>販売手数料率</t>
        </is>
      </c>
      <c r="H1" s="7" t="inlineStr">
        <is>
          <t>FBA配送代行料(円)</t>
        </is>
      </c>
      <c r="I1" s="7" t="inlineStr">
        <is>
          <t>諸経費/個(円)</t>
        </is>
      </c>
      <c r="J1" s="7" t="inlineStr">
        <is>
          <t>粗利/個(円)</t>
        </is>
      </c>
      <c r="K1" s="7" t="inlineStr">
        <is>
          <t>粗利率</t>
        </is>
      </c>
      <c r="L1" s="7" t="inlineStr">
        <is>
          <t>回転目安(日)</t>
        </is>
      </c>
      <c r="M1" s="7" t="inlineStr">
        <is>
          <t>出品制限</t>
        </is>
      </c>
      <c r="N1" s="7" t="inlineStr">
        <is>
          <t>法務リスク</t>
        </is>
      </c>
      <c r="O1" s="7" t="inlineStr">
        <is>
          <t>初心者推奨度</t>
        </is>
      </c>
      <c r="P1" s="7" t="inlineStr">
        <is>
          <t>選定根拠</t>
        </is>
      </c>
      <c r="Q1" s="7" t="inlineStr">
        <is>
          <t>検証ステータス</t>
        </is>
      </c>
      <c r="R1" s="7" t="inlineStr">
        <is>
          <t>次アクション</t>
        </is>
      </c>
    </row>
    <row r="2" ht="74" customHeight="1">
      <c r="A2" s="8" t="n">
        <v>1</v>
      </c>
      <c r="B2" s="9" t="inlineStr">
        <is>
          <t>ステンレス真空タンブラー/ボトル</t>
        </is>
      </c>
      <c r="C2" s="9" t="inlineStr">
        <is>
          <t>ホーム&amp;キッチン</t>
        </is>
      </c>
      <c r="D2" s="9" t="inlineStr">
        <is>
          <t>NETSEA / ヨドバシ / orosy</t>
        </is>
      </c>
      <c r="E2" s="10" t="n">
        <v>1400</v>
      </c>
      <c r="F2" s="10" t="n">
        <v>2780</v>
      </c>
      <c r="G2" s="11" t="n">
        <v>0.15</v>
      </c>
      <c r="H2" s="10" t="n">
        <v>455</v>
      </c>
      <c r="I2" s="10" t="n">
        <v>130</v>
      </c>
      <c r="J2" s="12">
        <f>F2-E2-F2*G2-H2-I2</f>
        <v/>
      </c>
      <c r="K2" s="13">
        <f>IF(F2=0,0,J2/F2)</f>
        <v/>
      </c>
      <c r="L2" s="14" t="n">
        <v>35</v>
      </c>
      <c r="M2" s="9" t="inlineStr">
        <is>
          <t>原則なし</t>
        </is>
      </c>
      <c r="N2" s="15" t="inlineStr">
        <is>
          <t>低</t>
        </is>
      </c>
      <c r="O2" s="15" t="inlineStr">
        <is>
          <t>推奨</t>
        </is>
      </c>
      <c r="P2" s="9" t="inlineStr">
        <is>
          <t>シミュ商品③で中央17.7%と最良。実用需要が安定・型番で相場確認しやすい。ブランド縛りの弱いノーブランド帯を狙う。</t>
        </is>
      </c>
      <c r="Q2" s="9" t="inlineStr">
        <is>
          <t>未検証（Keepa接続後に月販・競合数を確認）</t>
        </is>
      </c>
      <c r="R2" s="9" t="inlineStr">
        <is>
          <t>型番/相場をKeepaで確認 → 小ロット10個テスト</t>
        </is>
      </c>
    </row>
    <row r="3" ht="74" customHeight="1">
      <c r="A3" s="8" t="n">
        <v>2</v>
      </c>
      <c r="B3" s="9" t="inlineStr">
        <is>
          <t>収納用品（積み重ねボックス・ケース）</t>
        </is>
      </c>
      <c r="C3" s="9" t="inlineStr">
        <is>
          <t>ホーム&amp;キッチン / 日用品</t>
        </is>
      </c>
      <c r="D3" s="9" t="inlineStr">
        <is>
          <t>NETSEA / スーパーデリバリー</t>
        </is>
      </c>
      <c r="E3" s="10" t="n">
        <v>700</v>
      </c>
      <c r="F3" s="10" t="n">
        <v>1680</v>
      </c>
      <c r="G3" s="11" t="n">
        <v>0.15</v>
      </c>
      <c r="H3" s="10" t="n">
        <v>455</v>
      </c>
      <c r="I3" s="10" t="n">
        <v>100</v>
      </c>
      <c r="J3" s="12">
        <f>F3-E3-F3*G3-H3-I3</f>
        <v/>
      </c>
      <c r="K3" s="13">
        <f>IF(F3=0,0,J3/F3)</f>
        <v/>
      </c>
      <c r="L3" s="14" t="n">
        <v>30</v>
      </c>
      <c r="M3" s="9" t="inlineStr">
        <is>
          <t>原則なし</t>
        </is>
      </c>
      <c r="N3" s="15" t="inlineStr">
        <is>
          <t>低</t>
        </is>
      </c>
      <c r="O3" s="15" t="inlineStr">
        <is>
          <t>推奨</t>
        </is>
      </c>
      <c r="P3" s="9" t="inlineStr">
        <is>
          <t>制限カテゴリ表で『国内正規流通の日用品=法務リスク最小・推奨』。かさばるがFBA相性良く反復発注しやすい。</t>
        </is>
      </c>
      <c r="Q3" s="9" t="inlineStr">
        <is>
          <t>未検証</t>
        </is>
      </c>
      <c r="R3" s="9" t="inlineStr">
        <is>
          <t>セット構成/送料込み単価を精査 → テスト発注</t>
        </is>
      </c>
    </row>
    <row r="4" ht="74" customHeight="1">
      <c r="A4" s="8" t="n">
        <v>3</v>
      </c>
      <c r="B4" s="9" t="inlineStr">
        <is>
          <t>文房具・事務用品（人気型番ペン/ノート/テープ）</t>
        </is>
      </c>
      <c r="C4" s="9" t="inlineStr">
        <is>
          <t>文房具・オフィス用品</t>
        </is>
      </c>
      <c r="D4" s="9" t="inlineStr">
        <is>
          <t>ヨドバシ / メーカー直・問屋</t>
        </is>
      </c>
      <c r="E4" s="10" t="n">
        <v>250</v>
      </c>
      <c r="F4" s="10" t="n">
        <v>780</v>
      </c>
      <c r="G4" s="11" t="n">
        <v>0.15</v>
      </c>
      <c r="H4" s="10" t="n">
        <v>300</v>
      </c>
      <c r="I4" s="10" t="n">
        <v>60</v>
      </c>
      <c r="J4" s="12">
        <f>F4-E4-F4*G4-H4-I4</f>
        <v/>
      </c>
      <c r="K4" s="13">
        <f>IF(F4=0,0,J4/F4)</f>
        <v/>
      </c>
      <c r="L4" s="14" t="n">
        <v>20</v>
      </c>
      <c r="M4" s="9" t="inlineStr">
        <is>
          <t>原則なし</t>
        </is>
      </c>
      <c r="N4" s="15" t="inlineStr">
        <is>
          <t>低</t>
        </is>
      </c>
      <c r="O4" s="15" t="inlineStr">
        <is>
          <t>推奨</t>
        </is>
      </c>
      <c r="P4" s="9" t="inlineStr">
        <is>
          <t>低単価で失敗コスト小・回転速い。制限なし。まとめ買い/セット化で単価を作る。学習用の初回に最適。</t>
        </is>
      </c>
      <c r="Q4" s="9" t="inlineStr">
        <is>
          <t>未検証</t>
        </is>
      </c>
      <c r="R4" s="9" t="inlineStr">
        <is>
          <t>セット売れ筋をKeepaで確認 → 小額テスト</t>
        </is>
      </c>
    </row>
    <row r="5" ht="74" customHeight="1">
      <c r="A5" s="8" t="n">
        <v>4</v>
      </c>
      <c r="B5" s="9" t="inlineStr">
        <is>
          <t>清掃用品・掃除グッズ（ブラシ/スポンジ/洗剤除く雑貨）</t>
        </is>
      </c>
      <c r="C5" s="9" t="inlineStr">
        <is>
          <t>ドラッグストア/日用品雑貨</t>
        </is>
      </c>
      <c r="D5" s="9" t="inlineStr">
        <is>
          <t>NETSEA / ドン・キホーテ</t>
        </is>
      </c>
      <c r="E5" s="10" t="n">
        <v>400</v>
      </c>
      <c r="F5" s="10" t="n">
        <v>1180</v>
      </c>
      <c r="G5" s="11" t="n">
        <v>0.15</v>
      </c>
      <c r="H5" s="10" t="n">
        <v>455</v>
      </c>
      <c r="I5" s="10" t="n">
        <v>90</v>
      </c>
      <c r="J5" s="12">
        <f>F5-E5-F5*G5-H5-I5</f>
        <v/>
      </c>
      <c r="K5" s="13">
        <f>IF(F5=0,0,J5/F5)</f>
        <v/>
      </c>
      <c r="L5" s="14" t="n">
        <v>25</v>
      </c>
      <c r="M5" s="9" t="inlineStr">
        <is>
          <t>原則なし(液体洗剤等の成分品は要注意)</t>
        </is>
      </c>
      <c r="N5" s="15" t="inlineStr">
        <is>
          <t>低</t>
        </is>
      </c>
      <c r="O5" s="15" t="inlineStr">
        <is>
          <t>推奨</t>
        </is>
      </c>
      <c r="P5" s="9" t="inlineStr">
        <is>
          <t>消耗品でリピート需要。ただし『洗剤=成分表示』が絡む品は避け、器具・雑貨側に寄せる。</t>
        </is>
      </c>
      <c r="Q5" s="9" t="inlineStr">
        <is>
          <t>未検証</t>
        </is>
      </c>
      <c r="R5" s="9" t="inlineStr">
        <is>
          <t>成分規制に触れない品目に限定 → テスト</t>
        </is>
      </c>
    </row>
    <row r="6" ht="74" customHeight="1">
      <c r="A6" s="8" t="n">
        <v>5</v>
      </c>
      <c r="B6" s="9" t="inlineStr">
        <is>
          <t>キッチン雑貨（シリコン調理器具・保存容器）</t>
        </is>
      </c>
      <c r="C6" s="9" t="inlineStr">
        <is>
          <t>ホーム&amp;キッチン</t>
        </is>
      </c>
      <c r="D6" s="9" t="inlineStr">
        <is>
          <t>NETSEA / orosy</t>
        </is>
      </c>
      <c r="E6" s="10" t="n">
        <v>600</v>
      </c>
      <c r="F6" s="10" t="n">
        <v>1580</v>
      </c>
      <c r="G6" s="11" t="n">
        <v>0.15</v>
      </c>
      <c r="H6" s="10" t="n">
        <v>455</v>
      </c>
      <c r="I6" s="10" t="n">
        <v>100</v>
      </c>
      <c r="J6" s="12">
        <f>F6-E6-F6*G6-H6-I6</f>
        <v/>
      </c>
      <c r="K6" s="13">
        <f>IF(F6=0,0,J6/F6)</f>
        <v/>
      </c>
      <c r="L6" s="14" t="n">
        <v>30</v>
      </c>
      <c r="M6" s="9" t="inlineStr">
        <is>
          <t>原則なし(食品接触は品質表示留意)</t>
        </is>
      </c>
      <c r="N6" s="15" t="inlineStr">
        <is>
          <t>低</t>
        </is>
      </c>
      <c r="O6" s="15" t="inlineStr">
        <is>
          <t>推奨</t>
        </is>
      </c>
      <c r="P6" s="9" t="inlineStr">
        <is>
          <t>デザイン差別化しやすくorosyのニッチ良品と相性良。家庭用品品質表示に留意。</t>
        </is>
      </c>
      <c r="Q6" s="9" t="inlineStr">
        <is>
          <t>未検証</t>
        </is>
      </c>
      <c r="R6" s="9" t="inlineStr">
        <is>
          <t>表示義務を確認 → 小ロットテスト</t>
        </is>
      </c>
    </row>
    <row r="7" ht="74" customHeight="1">
      <c r="A7" s="8" t="n">
        <v>6</v>
      </c>
      <c r="B7" s="9" t="inlineStr">
        <is>
          <t>ペット用品（おもちゃ・消耗雑貨 ※処方食/サプリ除く)</t>
        </is>
      </c>
      <c r="C7" s="9" t="inlineStr">
        <is>
          <t>ペット用品</t>
        </is>
      </c>
      <c r="D7" s="9" t="inlineStr">
        <is>
          <t>NETSEA / 量販店</t>
        </is>
      </c>
      <c r="E7" s="10" t="n">
        <v>550</v>
      </c>
      <c r="F7" s="10" t="n">
        <v>1280</v>
      </c>
      <c r="G7" s="11" t="n">
        <v>0.08</v>
      </c>
      <c r="H7" s="10" t="n">
        <v>413</v>
      </c>
      <c r="I7" s="10" t="n">
        <v>100</v>
      </c>
      <c r="J7" s="12">
        <f>F7-E7-F7*G7-H7-I7</f>
        <v/>
      </c>
      <c r="K7" s="13">
        <f>IF(F7=0,0,J7/F7)</f>
        <v/>
      </c>
      <c r="L7" s="14" t="n">
        <v>18</v>
      </c>
      <c r="M7" s="9" t="inlineStr">
        <is>
          <t>処方食・動物用医薬品は許可要（除外）</t>
        </is>
      </c>
      <c r="N7" s="16" t="inlineStr">
        <is>
          <t>中</t>
        </is>
      </c>
      <c r="O7" s="16" t="inlineStr">
        <is>
          <t>慎重</t>
        </is>
      </c>
      <c r="P7" s="9" t="inlineStr">
        <is>
          <t>シミュ商品②の系統。手数料率が低め(8%)。ただし処方食/サプリ/医薬品は完全除外し、おもちゃ・消耗雑貨に限定。</t>
        </is>
      </c>
      <c r="Q7" s="9" t="inlineStr">
        <is>
          <t>未検証</t>
        </is>
      </c>
      <c r="R7" s="9" t="inlineStr">
        <is>
          <t>医薬部外扱いでない事を確認 → テスト</t>
        </is>
      </c>
    </row>
    <row r="8" ht="74" customHeight="1">
      <c r="A8" s="8" t="n">
        <v>7</v>
      </c>
      <c r="B8" s="9" t="inlineStr">
        <is>
          <t>アウトドア・キャンプ小物（非電気・非燃料）</t>
        </is>
      </c>
      <c r="C8" s="9" t="inlineStr">
        <is>
          <t>スポーツ&amp;アウトドア</t>
        </is>
      </c>
      <c r="D8" s="9" t="inlineStr">
        <is>
          <t>NETSEA / 量販店 / 在庫処分業者</t>
        </is>
      </c>
      <c r="E8" s="10" t="n">
        <v>900</v>
      </c>
      <c r="F8" s="10" t="n">
        <v>2280</v>
      </c>
      <c r="G8" s="11" t="n">
        <v>0.15</v>
      </c>
      <c r="H8" s="10" t="n">
        <v>455</v>
      </c>
      <c r="I8" s="10" t="n">
        <v>130</v>
      </c>
      <c r="J8" s="12">
        <f>F8-E8-F8*G8-H8-I8</f>
        <v/>
      </c>
      <c r="K8" s="13">
        <f>IF(F8=0,0,J8/F8)</f>
        <v/>
      </c>
      <c r="L8" s="14" t="n">
        <v>40</v>
      </c>
      <c r="M8" s="9" t="inlineStr">
        <is>
          <t>燃料・ガス缶等は危険物でFBA審査要（除外）</t>
        </is>
      </c>
      <c r="N8" s="16" t="inlineStr">
        <is>
          <t>中</t>
        </is>
      </c>
      <c r="O8" s="16" t="inlineStr">
        <is>
          <t>慎重</t>
        </is>
      </c>
      <c r="P8" s="9" t="inlineStr">
        <is>
          <t>季節需要で価格が張りやすい。ただしガス/燃料/リチウム単体は危険物のため器具・小物に限定。</t>
        </is>
      </c>
      <c r="Q8" s="9" t="inlineStr">
        <is>
          <t>未検証</t>
        </is>
      </c>
      <c r="R8" s="9" t="inlineStr">
        <is>
          <t>危険物該当を除外 → シーズン前にテスト</t>
        </is>
      </c>
    </row>
    <row r="9" ht="74" customHeight="1">
      <c r="A9" s="8" t="n">
        <v>8</v>
      </c>
      <c r="B9" s="9" t="inlineStr">
        <is>
          <t>ベビー・子供用品（玩具/口に触れる物を除く消耗雑貨)</t>
        </is>
      </c>
      <c r="C9" s="9" t="inlineStr">
        <is>
          <t>ベビー&amp;マタニティ</t>
        </is>
      </c>
      <c r="D9" s="9" t="inlineStr">
        <is>
          <t>西松屋セール / NETSEA</t>
        </is>
      </c>
      <c r="E9" s="10" t="n">
        <v>500</v>
      </c>
      <c r="F9" s="10" t="n">
        <v>1380</v>
      </c>
      <c r="G9" s="11" t="n">
        <v>0.15</v>
      </c>
      <c r="H9" s="10" t="n">
        <v>455</v>
      </c>
      <c r="I9" s="10" t="n">
        <v>100</v>
      </c>
      <c r="J9" s="12">
        <f>F9-E9-F9*G9-H9-I9</f>
        <v/>
      </c>
      <c r="K9" s="13">
        <f>IF(F9=0,0,J9/F9)</f>
        <v/>
      </c>
      <c r="L9" s="14" t="n">
        <v>28</v>
      </c>
      <c r="M9" s="9" t="inlineStr">
        <is>
          <t>口に触れる玩具・幼児向け玩具は許可/安全基準要</t>
        </is>
      </c>
      <c r="N9" s="16" t="inlineStr">
        <is>
          <t>中</t>
        </is>
      </c>
      <c r="O9" s="16" t="inlineStr">
        <is>
          <t>慎重</t>
        </is>
      </c>
      <c r="P9" s="9" t="inlineStr">
        <is>
          <t>西松屋等の季節末50〜70%オフが仕入れ源。玩具・幼児が口にする物は規制側なので回避し雑貨に限定。</t>
        </is>
      </c>
      <c r="Q9" s="9" t="inlineStr">
        <is>
          <t>未検証</t>
        </is>
      </c>
      <c r="R9" s="9" t="inlineStr">
        <is>
          <t>対象を非玩具雑貨に限定 → セール仕込み</t>
        </is>
      </c>
    </row>
    <row r="10" ht="74" customHeight="1">
      <c r="A10" s="8" t="n">
        <v>9</v>
      </c>
      <c r="B10" s="9" t="inlineStr">
        <is>
          <t>インテリア雑貨（高感度ニッチ良品）</t>
        </is>
      </c>
      <c r="C10" s="9" t="inlineStr">
        <is>
          <t>ホーム / インテリア</t>
        </is>
      </c>
      <c r="D10" s="9" t="inlineStr">
        <is>
          <t>orosy / ザッカネット / 展示会</t>
        </is>
      </c>
      <c r="E10" s="10" t="n">
        <v>1000</v>
      </c>
      <c r="F10" s="10" t="n">
        <v>2680</v>
      </c>
      <c r="G10" s="11" t="n">
        <v>0.15</v>
      </c>
      <c r="H10" s="10" t="n">
        <v>455</v>
      </c>
      <c r="I10" s="10" t="n">
        <v>140</v>
      </c>
      <c r="J10" s="12">
        <f>F10-E10-F10*G10-H10-I10</f>
        <v/>
      </c>
      <c r="K10" s="13">
        <f>IF(F10=0,0,J10/F10)</f>
        <v/>
      </c>
      <c r="L10" s="14" t="n">
        <v>45</v>
      </c>
      <c r="M10" s="9" t="inlineStr">
        <is>
          <t>原則なし</t>
        </is>
      </c>
      <c r="N10" s="15" t="inlineStr">
        <is>
          <t>低</t>
        </is>
      </c>
      <c r="O10" s="15" t="inlineStr">
        <is>
          <t>推奨</t>
        </is>
      </c>
      <c r="P10" s="9" t="inlineStr">
        <is>
          <t>他モールに無いニッチ良品で相乗り競合を避けやすい=差別化軸。回転は遅めだが利幅を取りやすい。</t>
        </is>
      </c>
      <c r="Q10" s="9" t="inlineStr">
        <is>
          <t>未検証</t>
        </is>
      </c>
      <c r="R10" s="9" t="inlineStr">
        <is>
          <t>競合セラー数の少ない品を優先 → 少数テスト</t>
        </is>
      </c>
    </row>
    <row r="11" ht="74" customHeight="1">
      <c r="A11" s="8" t="n">
        <v>10</v>
      </c>
      <c r="B11" s="9" t="inlineStr">
        <is>
          <t>季節・イベント雑貨（廃番プレミア/在庫処分）</t>
        </is>
      </c>
      <c r="C11" s="9" t="inlineStr">
        <is>
          <t>各種</t>
        </is>
      </c>
      <c r="D11" s="9" t="inlineStr">
        <is>
          <t>在庫処分業者 / しまむら等セール</t>
        </is>
      </c>
      <c r="E11" s="10" t="n">
        <v>600</v>
      </c>
      <c r="F11" s="10" t="n">
        <v>1980</v>
      </c>
      <c r="G11" s="11" t="n">
        <v>0.15</v>
      </c>
      <c r="H11" s="10" t="n">
        <v>455</v>
      </c>
      <c r="I11" s="10" t="n">
        <v>120</v>
      </c>
      <c r="J11" s="12">
        <f>F11-E11-F11*G11-H11-I11</f>
        <v/>
      </c>
      <c r="K11" s="13">
        <f>IF(F11=0,0,J11/F11)</f>
        <v/>
      </c>
      <c r="L11" s="14" t="n">
        <v>40</v>
      </c>
      <c r="M11" s="9" t="inlineStr">
        <is>
          <t>品目依存（都度確認）</t>
        </is>
      </c>
      <c r="N11" s="16" t="inlineStr">
        <is>
          <t>中</t>
        </is>
      </c>
      <c r="O11" s="16" t="inlineStr">
        <is>
          <t>慎重</t>
        </is>
      </c>
      <c r="P11" s="9" t="inlineStr">
        <is>
          <t>廃番プレミア品は相場が跳ねることがある一方、不良在庫リスクも高い。少額分散が前提。</t>
        </is>
      </c>
      <c r="Q11" s="9" t="inlineStr">
        <is>
          <t>未検証</t>
        </is>
      </c>
      <c r="R11" s="9" t="inlineStr">
        <is>
          <t>Keepaで廃番プレミアの実績を確認 → 少額</t>
        </is>
      </c>
    </row>
    <row r="12" ht="74" customHeight="1">
      <c r="A12" s="8" t="n">
        <v>11</v>
      </c>
      <c r="B12" s="9" t="inlineStr">
        <is>
          <t>中古本・ホビー（古物商取得が前提）</t>
        </is>
      </c>
      <c r="C12" s="9" t="inlineStr">
        <is>
          <t>本 / ホビー</t>
        </is>
      </c>
      <c r="D12" s="9" t="inlineStr">
        <is>
          <t>ブックオフ / ハードオフ</t>
        </is>
      </c>
      <c r="E12" s="10" t="n">
        <v>300</v>
      </c>
      <c r="F12" s="10" t="n">
        <v>1200</v>
      </c>
      <c r="G12" s="11" t="n">
        <v>0.15</v>
      </c>
      <c r="H12" s="10" t="n">
        <v>300</v>
      </c>
      <c r="I12" s="10" t="n">
        <v>80</v>
      </c>
      <c r="J12" s="12">
        <f>F12-E12-F12*G12-H12-I12</f>
        <v/>
      </c>
      <c r="K12" s="13">
        <f>IF(F12=0,0,J12/F12)</f>
        <v/>
      </c>
      <c r="L12" s="14" t="n">
        <v>30</v>
      </c>
      <c r="M12" s="9" t="inlineStr">
        <is>
          <t>中古は古物商許可が前提</t>
        </is>
      </c>
      <c r="N12" s="16" t="inlineStr">
        <is>
          <t>中</t>
        </is>
      </c>
      <c r="O12" s="15" t="inlineStr">
        <is>
          <t>推奨(古物商取得後)</t>
        </is>
      </c>
      <c r="P12" s="9" t="inlineStr">
        <is>
          <t>制限表で『中古本＋古物商=推奨』。せどり発祥の修行場で目利きが育つ。まず古物商許可の取得が条件。</t>
        </is>
      </c>
      <c r="Q12" s="9" t="inlineStr">
        <is>
          <t>未検証（+古物商許可の手続き要）</t>
        </is>
      </c>
      <c r="R12" s="9" t="inlineStr">
        <is>
          <t>古物商許可を申請 → 店舗で相場付き検品</t>
        </is>
      </c>
    </row>
    <row r="13" ht="74" customHeight="1">
      <c r="A13" s="8" t="n">
        <v>12</v>
      </c>
      <c r="B13" s="9" t="inlineStr">
        <is>
          <t>ステーショナリー系ギフトセット/日用消耗品セット</t>
        </is>
      </c>
      <c r="C13" s="9" t="inlineStr">
        <is>
          <t>文房具 / ギフト</t>
        </is>
      </c>
      <c r="D13" s="9" t="inlineStr">
        <is>
          <t>ザッカネット / 問屋街</t>
        </is>
      </c>
      <c r="E13" s="10" t="n">
        <v>350</v>
      </c>
      <c r="F13" s="10" t="n">
        <v>1080</v>
      </c>
      <c r="G13" s="11" t="n">
        <v>0.15</v>
      </c>
      <c r="H13" s="10" t="n">
        <v>300</v>
      </c>
      <c r="I13" s="10" t="n">
        <v>70</v>
      </c>
      <c r="J13" s="12">
        <f>F13-E13-F13*G13-H13-I13</f>
        <v/>
      </c>
      <c r="K13" s="13">
        <f>IF(F13=0,0,J13/F13)</f>
        <v/>
      </c>
      <c r="L13" s="14" t="n">
        <v>22</v>
      </c>
      <c r="M13" s="9" t="inlineStr">
        <is>
          <t>原則なし</t>
        </is>
      </c>
      <c r="N13" s="15" t="inlineStr">
        <is>
          <t>低</t>
        </is>
      </c>
      <c r="O13" s="15" t="inlineStr">
        <is>
          <t>推奨</t>
        </is>
      </c>
      <c r="P13" s="9" t="inlineStr">
        <is>
          <t>単品を束ねてオリジナルセット化すると相乗り競合を外せる。低単価で回転も速い。</t>
        </is>
      </c>
      <c r="Q13" s="9" t="inlineStr">
        <is>
          <t>未検証</t>
        </is>
      </c>
      <c r="R13" s="9" t="inlineStr">
        <is>
          <t>セット構成の価格妥当性を確認 → テスト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2">
      <c r="B2" s="17" t="inlineStr">
        <is>
          <t>候補の選定ロジック</t>
        </is>
      </c>
    </row>
    <row r="4" ht="60" customHeight="1">
      <c r="B4" s="18" t="inlineStr">
        <is>
          <t>① 法務リスク最小を最優先</t>
        </is>
      </c>
      <c r="C4" s="4" t="inlineStr">
        <is>
          <t>制限カテゴリ表で『非推奨』の領域（化粧品/医薬部外品/家電PSE/ブランド品/酒/食品 等）を除外。『推奨・慎重』のみ採用。初心者は許可申請・免許・成分表示で詰まると学習が止まるため。</t>
        </is>
      </c>
    </row>
    <row r="5" ht="60" customHeight="1">
      <c r="B5" s="18" t="inlineStr">
        <is>
          <t>② 粗利率 目標20%（中央シナリオ）</t>
        </is>
      </c>
      <c r="C5" s="4" t="inlineStr">
        <is>
          <t>3商品×3シナリオのシミュレーションを基準線に採用。中央シナリオで20%前後を狙える商品タイプを優先。粗利=販売価格−仕入単価−Amazon手数料−FBA代行料−諸経費。</t>
        </is>
      </c>
    </row>
    <row r="6" ht="60" customHeight="1">
      <c r="B6" s="18" t="inlineStr">
        <is>
          <t>③ 回転（資金の寝かせ過ぎ回避）</t>
        </is>
      </c>
      <c r="C6" s="4" t="inlineStr">
        <is>
          <t>回転目安が概ね40日以内を優先。低単価品ほど失敗コストが小さく学習効率が高いので初回向き。</t>
        </is>
      </c>
    </row>
    <row r="7" ht="60" customHeight="1">
      <c r="B7" s="18" t="inlineStr">
        <is>
          <t>④ 仕入れの容易性</t>
        </is>
      </c>
      <c r="C7" s="4" t="inlineStr">
        <is>
          <t>仕入れ先28社リストの『初心者向き度』が高い先（NETSEA=9, ヨドバシ=9, 楽天=9 等）から調達できる商品を優先。</t>
        </is>
      </c>
    </row>
    <row r="8" ht="60" customHeight="1">
      <c r="B8" s="18" t="inlineStr">
        <is>
          <t>⑤ 差別化（相乗り競合の回避）</t>
        </is>
      </c>
      <c r="C8" s="4" t="inlineStr">
        <is>
          <t>ノーブランド帯・ニッチ良品（orosy/ザッカネット）・セット化で、相乗り出品の価格競争を外せる商品を加点。</t>
        </is>
      </c>
    </row>
    <row r="9" ht="60" customHeight="1">
      <c r="B9" s="18" t="inlineStr">
        <is>
          <t>除外した軸</t>
        </is>
      </c>
      <c r="C9" s="4" t="inlineStr">
        <is>
          <t>電脳せどりの価格差取り(社長方針=仕入れせどり主軸)、および高リスクカテゴリ、電気・無線(PSE/技適)、危険物、ブランド並行輸入は今回のショートリストから除外。</t>
        </is>
      </c>
    </row>
    <row r="11" ht="70" customHeight="1">
      <c r="B11" s="19" t="inlineStr">
        <is>
          <t>出典（すべて社内の実データ納品物）</t>
        </is>
      </c>
      <c r="C11" s="20" t="inlineStr">
        <is>
          <t>workspace/output/deliverables/T-20260521-002/restricted-categories.csv
workspace/output/deliverables/T-20260521-002/suppliers-list.csv
workspace/output/deliverables/T-20260521-002/simulation-numbers.csv
workspace/output/deliverables/T-20260521-005/code/app/calc/(profit.py, score.py)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6" customWidth="1" min="3" max="3"/>
    <col width="70" customWidth="1" min="4" max="4"/>
  </cols>
  <sheetData>
    <row r="2">
      <c r="B2" s="21" t="inlineStr">
        <is>
          <t>最初は避けるべき高リスクカテゴリ（制限カテゴリ表より）</t>
        </is>
      </c>
    </row>
    <row r="4">
      <c r="B4" s="22" t="inlineStr">
        <is>
          <t>カテゴリ</t>
        </is>
      </c>
      <c r="C4" s="22" t="inlineStr">
        <is>
          <t>理由(必要な免許/申請)</t>
        </is>
      </c>
      <c r="D4" s="22" t="inlineStr">
        <is>
          <t>根拠法令</t>
        </is>
      </c>
    </row>
    <row r="5" ht="40" customHeight="1">
      <c r="B5" s="23" t="inlineStr">
        <is>
          <t>化粧品・医薬部外品・医薬品・サプリ/健康食品</t>
        </is>
      </c>
      <c r="C5" s="9" t="inlineStr">
        <is>
          <t>出品許可申請＋製造販売業許可等/薬機法違反リスク</t>
        </is>
      </c>
      <c r="D5" s="9" t="inlineStr">
        <is>
          <t>薬機法・食品衛生法</t>
        </is>
      </c>
    </row>
    <row r="6" ht="40" customHeight="1">
      <c r="B6" s="23" t="inlineStr">
        <is>
          <t>電気製品(家電/モバイルバッテリー/充電器/LED)</t>
        </is>
      </c>
      <c r="C6" s="9" t="inlineStr">
        <is>
          <t>PSEマーク無しは出品不可・輸入は届出事業者義務</t>
        </is>
      </c>
      <c r="D6" s="9" t="inlineStr">
        <is>
          <t>電気用品安全法</t>
        </is>
      </c>
    </row>
    <row r="7" ht="40" customHeight="1">
      <c r="B7" s="23" t="inlineStr">
        <is>
          <t>無線機器(Wi-Fi/Bluetooth/トランシーバー)</t>
        </is>
      </c>
      <c r="C7" s="9" t="inlineStr">
        <is>
          <t>技適マーク無しは出品・使用不可</t>
        </is>
      </c>
      <c r="D7" s="9" t="inlineStr">
        <is>
          <t>電波法</t>
        </is>
      </c>
    </row>
    <row r="8" ht="40" customHeight="1">
      <c r="B8" s="23" t="inlineStr">
        <is>
          <t>ブランド品・並行輸入品</t>
        </is>
      </c>
      <c r="C8" s="9" t="inlineStr">
        <is>
          <t>真贋調査対象・正規流通証明が必要・即出品停止リスク</t>
        </is>
      </c>
      <c r="D8" s="9" t="inlineStr">
        <is>
          <t>商標法・不正競争防止法</t>
        </is>
      </c>
    </row>
    <row r="9" ht="40" customHeight="1">
      <c r="B9" s="23" t="inlineStr">
        <is>
          <t>酒類</t>
        </is>
      </c>
      <c r="C9" s="9" t="inlineStr">
        <is>
          <t>通信販売酒類小売業免許＋蔵置所届出が必須</t>
        </is>
      </c>
      <c r="D9" s="9" t="inlineStr">
        <is>
          <t>酒税法</t>
        </is>
      </c>
    </row>
    <row r="10" ht="40" customHeight="1">
      <c r="B10" s="23" t="inlineStr">
        <is>
          <t>食品・飲料(加工食品全般)</t>
        </is>
      </c>
      <c r="C10" s="9" t="inlineStr">
        <is>
          <t>出品許可申請＋輸入届出＋HACCP＋表示基準</t>
        </is>
      </c>
      <c r="D10" s="9" t="inlineStr">
        <is>
          <t>食品衛生法・食品表示法</t>
        </is>
      </c>
    </row>
    <row r="11" ht="40" customHeight="1">
      <c r="B11" s="23" t="inlineStr">
        <is>
          <t>危険物(スプレー缶/可燃性液体/リチウム電池単体)</t>
        </is>
      </c>
      <c r="C11" s="9" t="inlineStr">
        <is>
          <t>FBA危険物審査＋SDS提出義務</t>
        </is>
      </c>
      <c r="D11" s="9" t="inlineStr">
        <is>
          <t>高圧ガス保安法・消防法</t>
        </is>
      </c>
    </row>
    <row r="12" ht="40" customHeight="1">
      <c r="B12" s="23" t="inlineStr">
        <is>
          <t>時計・ジュエリー(ブランド)</t>
        </is>
      </c>
      <c r="C12" s="9" t="inlineStr">
        <is>
          <t>真贋証明・正規卸請求書3通</t>
        </is>
      </c>
      <c r="D12" s="9" t="inlineStr">
        <is>
          <t>商標法</t>
        </is>
      </c>
    </row>
    <row r="13" ht="40" customHeight="1">
      <c r="B13" s="23" t="inlineStr">
        <is>
          <t>玩具(特に幼児向け/口に触れる)</t>
        </is>
      </c>
      <c r="C13" s="9" t="inlineStr">
        <is>
          <t>出品許可・安全基準(ST等)・商戦期は新規停止</t>
        </is>
      </c>
      <c r="D13" s="9" t="inlineStr">
        <is>
          <t>食品衛生法</t>
        </is>
      </c>
    </row>
    <row r="14" ht="40" customHeight="1">
      <c r="B14" s="23" t="inlineStr">
        <is>
          <t>タバコ・電子タバコ/銃刀類/農薬</t>
        </is>
      </c>
      <c r="C14" s="9" t="inlineStr">
        <is>
          <t>出品自体が禁止 or 登録番号必須</t>
        </is>
      </c>
      <c r="D14" s="9" t="inlineStr">
        <is>
          <t>たばこ事業法・銃刀法・農薬取締法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2026-07-31T09:58:22Z</dcterms:created>
  <dcterms:modified xsi:type="dcterms:W3CDTF">2026-07-31T09:58:22Z</dcterms:modified>
</cp:coreProperties>
</file>