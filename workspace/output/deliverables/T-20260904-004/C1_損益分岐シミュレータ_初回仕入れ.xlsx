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い方・凡例" sheetId="1" state="visible" r:id="rId1"/>
    <sheet name="計算機(1商品)" sheetId="2" state="visible" r:id="rId2"/>
    <sheet name="候補一覧(複数SKU)" sheetId="3" state="visible" r:id="rId3"/>
    <sheet name="参考_費目と出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color rgb="00C00000"/>
    </font>
  </fonts>
  <fills count="8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E69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A9D08E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1" pivotButton="0" quotePrefix="0" xfId="0"/>
    <xf numFmtId="164" fontId="0" fillId="2" borderId="1" pivotButton="0" quotePrefix="0" xfId="0"/>
    <xf numFmtId="164" fontId="0" fillId="3" borderId="1" pivotButton="0" quotePrefix="0" xfId="0"/>
    <xf numFmtId="0" fontId="0" fillId="3" borderId="1" pivotButton="0" quotePrefix="0" xfId="0"/>
    <xf numFmtId="0" fontId="0" fillId="4" borderId="1" pivotButton="0" quotePrefix="0" xfId="0"/>
    <xf numFmtId="3" fontId="0" fillId="5" borderId="1" pivotButton="0" quotePrefix="0" xfId="0"/>
    <xf numFmtId="165" fontId="0" fillId="5" borderId="1" pivotButton="0" quotePrefix="0" xfId="0"/>
    <xf numFmtId="3" fontId="2" fillId="6" borderId="1" pivotButton="0" quotePrefix="0" xfId="0"/>
    <xf numFmtId="164" fontId="2" fillId="6" borderId="1" pivotButton="0" quotePrefix="0" xfId="0"/>
    <xf numFmtId="164" fontId="0" fillId="5" borderId="1" pivotButton="0" quotePrefix="0" xfId="0"/>
    <xf numFmtId="0" fontId="2" fillId="6" borderId="1" pivotButton="0" quotePrefix="0" xfId="0"/>
    <xf numFmtId="0" fontId="3" fillId="7" borderId="0" applyAlignment="1" pivotButton="0" quotePrefix="0" xfId="0">
      <alignment vertical="center" wrapText="1"/>
    </xf>
    <xf numFmtId="0" fontId="0" fillId="2" borderId="0" pivotButton="0" quotePrefix="0" xfId="0"/>
    <xf numFmtId="164" fontId="0" fillId="2" borderId="0" pivotButton="0" quotePrefix="0" xfId="0"/>
    <xf numFmtId="3" fontId="0" fillId="0" borderId="0" pivotButton="0" quotePrefix="0" xfId="0"/>
    <xf numFmtId="165" fontId="0" fillId="0" borderId="0" pivotButton="0" quotePrefix="0" xfId="0"/>
    <xf numFmtId="3" fontId="0" fillId="6" borderId="0" pivotButton="0" quotePrefix="0" xfId="0"/>
    <xf numFmtId="164" fontId="0" fillId="6" borderId="0" pivotButton="0" quotePrefix="0" xfId="0"/>
    <xf numFmtId="3" fontId="2" fillId="0" borderId="0" pivotButton="0" quotePrefix="0" xfId="0"/>
    <xf numFmtId="0" fontId="4" fillId="0" borderId="0" pivotButton="0" quotePrefix="0" xfId="0"/>
    <xf numFmtId="0" fontId="3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 xml:space="preserve">  初回仕入れ（卸レーン・小口プラン）｜損益分岐シミュレータ</t>
        </is>
      </c>
    </row>
    <row r="2">
      <c r="A2" t="inlineStr"/>
    </row>
    <row r="3">
      <c r="A3" t="inlineStr">
        <is>
          <t>目的</t>
        </is>
      </c>
      <c r="B3" t="inlineStr">
        <is>
          <t>予算5万円・5〜10SKU の初回仕入れで「いくらで仕入れれば利益率5%を取れるか」を先に出す。</t>
        </is>
      </c>
    </row>
    <row r="4">
      <c r="A4" t="inlineStr">
        <is>
          <t>元にした版</t>
        </is>
      </c>
      <c r="B4" t="inlineStr">
        <is>
          <t>T-20260804-001 損益分岐シミュレータ_メーカー仕入れ.xlsx（構造を流用）</t>
        </is>
      </c>
    </row>
    <row r="5">
      <c r="A5" t="inlineStr">
        <is>
          <t>この版で追加した費目</t>
        </is>
      </c>
      <c r="B5" t="inlineStr">
        <is>
          <t>① 小口プラン 基本成約料 110円/点（税込）  ② 販売手数料の消費税 10%  ③ FBA納品代行の作業費</t>
        </is>
      </c>
    </row>
    <row r="6">
      <c r="A6" t="inlineStr"/>
    </row>
    <row r="7">
      <c r="A7" s="2" t="inlineStr">
        <is>
          <t>■ セルの色</t>
        </is>
      </c>
    </row>
    <row r="8">
      <c r="A8" t="inlineStr">
        <is>
          <t>水色</t>
        </is>
      </c>
      <c r="B8" t="inlineStr">
        <is>
          <t>あなたが入力（売価・手数料率など。Keepa / Amazon実ページから）</t>
        </is>
      </c>
    </row>
    <row r="9">
      <c r="A9" t="inlineStr">
        <is>
          <t>黄色</t>
        </is>
      </c>
      <c r="B9" t="inlineStr">
        <is>
          <t>あなたが実測（納品代行の単価・卸の送料。相見積りで確定させる）</t>
        </is>
      </c>
    </row>
    <row r="10">
      <c r="A10" t="inlineStr">
        <is>
          <t>濃い黄</t>
        </is>
      </c>
      <c r="B10" t="inlineStr">
        <is>
          <t>★今回追加した費目。既存シミュレータには無かった行</t>
        </is>
      </c>
    </row>
    <row r="11">
      <c r="A11" t="inlineStr">
        <is>
          <t>薄緑</t>
        </is>
      </c>
      <c r="B11" t="inlineStr">
        <is>
          <t>自動計算。触らない</t>
        </is>
      </c>
    </row>
    <row r="12">
      <c r="A12" t="inlineStr">
        <is>
          <t>濃緑</t>
        </is>
      </c>
      <c r="B12" t="inlineStr">
        <is>
          <t>最重要の答え。損益分岐の仕入れ値／目標利益率を満たす仕入れ上限</t>
        </is>
      </c>
    </row>
    <row r="13">
      <c r="A13" t="inlineStr"/>
    </row>
    <row r="14">
      <c r="A14" s="2" t="inlineStr">
        <is>
          <t>■ 前提（2026-09-04 経理ハジメ実測版）</t>
        </is>
      </c>
    </row>
    <row r="15">
      <c r="A15" t="inlineStr">
        <is>
          <t>販売手数料</t>
        </is>
      </c>
      <c r="B15" t="inlineStr">
        <is>
          <t>税抜表示。実際の請求は ×1.1。この表では自動で掛けている</t>
        </is>
      </c>
    </row>
    <row r="16">
      <c r="A16" t="inlineStr">
        <is>
          <t>FBA配送代行・保管料</t>
        </is>
      </c>
      <c r="B16" t="inlineStr">
        <is>
          <t>税込表示。二重に消費税を掛けないこと</t>
        </is>
      </c>
    </row>
    <row r="17">
      <c r="A17" t="inlineStr">
        <is>
          <t>小口 基本成約料</t>
        </is>
      </c>
      <c r="B17" t="inlineStr">
        <is>
          <t>100円/点（税別）→ 110円/点（税込）で計上。大口プランなら 0 にして月4,900円を別途見ること</t>
        </is>
      </c>
    </row>
    <row r="18">
      <c r="A18" t="inlineStr">
        <is>
          <t>保管月数</t>
        </is>
      </c>
      <c r="B18" t="inlineStr">
        <is>
          <t>1.5ヶ月。3ヶ月で線形に売り切る前提の平均在庫。旧2.0ヶ月は過大</t>
        </is>
      </c>
    </row>
    <row r="19">
      <c r="A19" t="inlineStr">
        <is>
          <t>納品送料</t>
        </is>
      </c>
      <c r="B19" t="inlineStr">
        <is>
          <t>納品代行→FBA 140サイズ 750円/箱 ÷ 1箱20点 = 37.5円/点。旧100円/点は過大</t>
        </is>
      </c>
    </row>
    <row r="20">
      <c r="A20" t="inlineStr">
        <is>
          <t>雑費</t>
        </is>
      </c>
      <c r="B20" t="inlineStr">
        <is>
          <t>廃止。返品引当（返品率 ×（FBA配送代行＋返金処理手数料＋仕入原価50%））に置換</t>
        </is>
      </c>
    </row>
    <row r="21">
      <c r="A21" t="inlineStr">
        <is>
          <t>消費税</t>
        </is>
      </c>
      <c r="B21" t="inlineStr">
        <is>
          <t>社長は免税事業者・インボイス未登録。仕入税額控除なし＝すべて税込が実コスト</t>
        </is>
      </c>
    </row>
    <row r="22">
      <c r="A22" t="inlineStr"/>
    </row>
    <row r="23">
      <c r="A23" s="2" t="inlineStr">
        <is>
          <t>■ 出典・確度</t>
        </is>
      </c>
      <c r="B23" t="inlineStr">
        <is>
          <t>詳細は同フォルダの C1_コスト前提_実測版.md ／ C1_費目一覧.csv ／ C1_cost_assumptions.json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62" customWidth="1" min="4" max="4"/>
  </cols>
  <sheetData>
    <row r="1">
      <c r="A1" s="1" t="inlineStr">
        <is>
          <t xml:space="preserve">  損益分岐シミュレータ（1商品・初回仕入れ／小口プラン）</t>
        </is>
      </c>
    </row>
    <row r="3">
      <c r="A3" s="2" t="inlineStr">
        <is>
          <t>① 入力（水色＝入力 / 黄色＝実測 / 濃い黄＝今回追加）</t>
        </is>
      </c>
    </row>
    <row r="4">
      <c r="A4" t="inlineStr">
        <is>
          <t>① Amazon売価（税込）</t>
        </is>
      </c>
      <c r="B4" s="3" t="n">
        <v>2000</v>
      </c>
      <c r="C4" t="inlineStr">
        <is>
          <t>円</t>
        </is>
      </c>
      <c r="D4" t="inlineStr">
        <is>
          <t>Keepa/実ページ。出品直前に再確認</t>
        </is>
      </c>
    </row>
    <row r="5">
      <c r="A5" t="inlineStr">
        <is>
          <t>② 販売手数料率</t>
        </is>
      </c>
      <c r="B5" s="4" t="n">
        <v>0.104</v>
      </c>
      <c r="C5" t="inlineStr"/>
      <c r="D5" t="inlineStr">
        <is>
          <t>カテゴリ料率。代表値10.4%</t>
        </is>
      </c>
    </row>
    <row r="6">
      <c r="A6" t="inlineStr">
        <is>
          <t>③ 販売手数料の消費税</t>
        </is>
      </c>
      <c r="B6" s="5" t="n">
        <v>0.1</v>
      </c>
      <c r="C6" t="inlineStr"/>
      <c r="D6" t="inlineStr">
        <is>
          <t>★追加。販売手数料は税抜表示なので必ず加算</t>
        </is>
      </c>
    </row>
    <row r="7">
      <c r="A7" t="inlineStr">
        <is>
          <t>④ FBA配送代行手数料（税込）</t>
        </is>
      </c>
      <c r="B7" s="3" t="n">
        <v>318</v>
      </c>
      <c r="C7" t="inlineStr">
        <is>
          <t>円</t>
        </is>
      </c>
      <c r="D7" t="inlineStr">
        <is>
          <t>公式FBA料金シミュレーターの実額。標準1=318 / 小型=288</t>
        </is>
      </c>
    </row>
    <row r="8">
      <c r="A8" t="inlineStr">
        <is>
          <t>⑤ 商品体積</t>
        </is>
      </c>
      <c r="B8" s="3" t="n">
        <v>2000</v>
      </c>
      <c r="C8" t="inlineStr">
        <is>
          <t>cm³</t>
        </is>
      </c>
      <c r="D8" t="inlineStr">
        <is>
          <t>package寸法から。標準1の代表値2,000cm³</t>
        </is>
      </c>
    </row>
    <row r="9">
      <c r="A9" t="inlineStr">
        <is>
          <t>⑥ 保管料率</t>
        </is>
      </c>
      <c r="B9" s="3" t="n">
        <v>10.087</v>
      </c>
      <c r="C9" t="inlineStr">
        <is>
          <t>円/1,000cm³/月</t>
        </is>
      </c>
      <c r="D9" t="inlineStr">
        <is>
          <t>繁忙期10-12月=10.087 / 通常期1-9月=5.676</t>
        </is>
      </c>
    </row>
    <row r="10">
      <c r="A10" t="inlineStr">
        <is>
          <t>⑦ 保管月数</t>
        </is>
      </c>
      <c r="B10" s="3" t="n">
        <v>1.5</v>
      </c>
      <c r="C10" t="inlineStr">
        <is>
          <t>ヶ月</t>
        </is>
      </c>
      <c r="D10" t="inlineStr">
        <is>
          <t>3ヶ月線形消化なら1.5。6ヶ月なら3.0</t>
        </is>
      </c>
    </row>
    <row r="11">
      <c r="A11" t="inlineStr">
        <is>
          <t>⑧ 小口プラン 基本成約料（税込）</t>
        </is>
      </c>
      <c r="B11" s="6" t="n">
        <v>110</v>
      </c>
      <c r="C11" t="inlineStr">
        <is>
          <t>円</t>
        </is>
      </c>
      <c r="D11" t="inlineStr">
        <is>
          <t>★追加。大口プランなら0にすること</t>
        </is>
      </c>
    </row>
    <row r="12">
      <c r="A12" t="inlineStr">
        <is>
          <t>⑨ FBA納品代行 作業単価</t>
        </is>
      </c>
      <c r="B12" s="7" t="n">
        <v>12</v>
      </c>
      <c r="C12" t="inlineStr">
        <is>
          <t>円/点</t>
        </is>
      </c>
      <c r="D12" t="inlineStr">
        <is>
          <t>★実測。e-fba公開料金12円（資材込）。相場10〜30円</t>
        </is>
      </c>
    </row>
    <row r="13">
      <c r="A13" t="inlineStr">
        <is>
          <t>⑩ 納品代行→FBA 配送料</t>
        </is>
      </c>
      <c r="B13" s="7" t="n">
        <v>750</v>
      </c>
      <c r="C13" t="inlineStr">
        <is>
          <t>円/箱</t>
        </is>
      </c>
      <c r="D13" t="inlineStr">
        <is>
          <t>★実測。140サイズ750円〜。自分で出すならヤマトPC 608円</t>
        </is>
      </c>
    </row>
    <row r="14">
      <c r="A14" t="inlineStr">
        <is>
          <t>⑪ 1箱あたり収容個数</t>
        </is>
      </c>
      <c r="B14" s="7" t="n">
        <v>20</v>
      </c>
      <c r="C14" t="inlineStr">
        <is>
          <t>点/箱</t>
        </is>
      </c>
      <c r="D14" t="inlineStr">
        <is>
          <t>★実測して埋める。初回納品時に確定</t>
        </is>
      </c>
    </row>
    <row r="15">
      <c r="A15" t="inlineStr">
        <is>
          <t>⑫ 卸の送料（1発注あたり）</t>
        </is>
      </c>
      <c r="B15" s="7" t="n">
        <v>0</v>
      </c>
      <c r="C15" t="inlineStr">
        <is>
          <t>円</t>
        </is>
      </c>
      <c r="D15" t="inlineStr">
        <is>
          <t>★実測。NETSEA中央値1,500円。9月は初回送料無料特集あり</t>
        </is>
      </c>
    </row>
    <row r="16">
      <c r="A16" t="inlineStr">
        <is>
          <t>⑬ 1回の発注個数</t>
        </is>
      </c>
      <c r="B16" s="3" t="n">
        <v>10</v>
      </c>
      <c r="C16" t="inlineStr">
        <is>
          <t>点</t>
        </is>
      </c>
      <c r="D16" t="inlineStr">
        <is>
          <t>⑫を按分する分母</t>
        </is>
      </c>
    </row>
    <row r="17">
      <c r="A17" t="inlineStr">
        <is>
          <t>⑭ 返品率</t>
        </is>
      </c>
      <c r="B17" s="4" t="n">
        <v>0.03</v>
      </c>
      <c r="C17" t="inlineStr"/>
      <c r="D17" t="inlineStr">
        <is>
          <t>仮。自社実績が出たら差し替える</t>
        </is>
      </c>
    </row>
    <row r="18">
      <c r="A18" t="inlineStr">
        <is>
          <t>⑮ 目標利益率</t>
        </is>
      </c>
      <c r="B18" s="4" t="n">
        <v>0.05</v>
      </c>
      <c r="C18" t="inlineStr"/>
      <c r="D18" t="inlineStr">
        <is>
          <t>初回は5%（社長決定）。会社KPIは20%</t>
        </is>
      </c>
    </row>
    <row r="20">
      <c r="A20" s="2" t="inlineStr">
        <is>
          <t>② 自動計算（薄緑）</t>
        </is>
      </c>
    </row>
    <row r="21">
      <c r="A21" t="inlineStr">
        <is>
          <t>販売手数料（税込）</t>
        </is>
      </c>
      <c r="B21" s="8">
        <f>MAX(B4*B5,30)*(1+B6)</f>
        <v/>
      </c>
      <c r="C21" t="inlineStr">
        <is>
          <t>円</t>
        </is>
      </c>
      <c r="D21" t="inlineStr">
        <is>
          <t>最低手数料30円を下回らない</t>
        </is>
      </c>
    </row>
    <row r="22">
      <c r="A22" t="inlineStr">
        <is>
          <t>保管料</t>
        </is>
      </c>
      <c r="B22" s="9">
        <f>B8/1000*B9*B10</f>
        <v/>
      </c>
      <c r="C22" t="inlineStr">
        <is>
          <t>円</t>
        </is>
      </c>
      <c r="D22" t="inlineStr"/>
    </row>
    <row r="23">
      <c r="A23" t="inlineStr">
        <is>
          <t>納品送料/点</t>
        </is>
      </c>
      <c r="B23" s="9">
        <f>B13/B14</f>
        <v/>
      </c>
      <c r="C23" t="inlineStr">
        <is>
          <t>円</t>
        </is>
      </c>
      <c r="D23" t="inlineStr"/>
    </row>
    <row r="24">
      <c r="A24" t="inlineStr">
        <is>
          <t>卸送料/点</t>
        </is>
      </c>
      <c r="B24" s="9">
        <f>B15/B16</f>
        <v/>
      </c>
      <c r="C24" t="inlineStr">
        <is>
          <t>円</t>
        </is>
      </c>
      <c r="D24" t="inlineStr"/>
    </row>
    <row r="25">
      <c r="A25" t="inlineStr">
        <is>
          <t>返金処理手数料</t>
        </is>
      </c>
      <c r="B25" s="8">
        <f>MIN(500,MAX(B4*B5,30)*0.1)</f>
        <v/>
      </c>
      <c r="C25" t="inlineStr">
        <is>
          <t>円</t>
        </is>
      </c>
      <c r="D25" t="inlineStr">
        <is>
          <t>500円と販売手数料10%の低い方</t>
        </is>
      </c>
    </row>
    <row r="27">
      <c r="A27" t="inlineStr">
        <is>
          <t>諸コスト合計（仕入れ値・返品引当を除く）</t>
        </is>
      </c>
      <c r="B27" s="8">
        <f>B21+B7+B22+B11+B12+B23+B24</f>
        <v/>
      </c>
      <c r="C27" t="inlineStr">
        <is>
          <t>円</t>
        </is>
      </c>
      <c r="D27" t="inlineStr"/>
    </row>
    <row r="29">
      <c r="A29" s="2" t="inlineStr">
        <is>
          <t>【損益分岐 仕入れ値（利益0・税込）】</t>
        </is>
      </c>
      <c r="B29" s="10">
        <f>(B4-B27-B17*(B7+B25))/(1+B17*0.5)</f>
        <v/>
      </c>
      <c r="C29" t="inlineStr">
        <is>
          <t>円</t>
        </is>
      </c>
      <c r="D29" t="inlineStr">
        <is>
          <t>この値で仕入れると利益ゼロ</t>
        </is>
      </c>
    </row>
    <row r="30">
      <c r="A30" s="2" t="inlineStr">
        <is>
          <t>【目標利益率を満たす仕入れ上限（税込）】</t>
        </is>
      </c>
      <c r="B30" s="10">
        <f>(B4*(1-B18)-B27-B17*(B7+B25))/(1+B17*0.5)</f>
        <v/>
      </c>
      <c r="C30" t="inlineStr">
        <is>
          <t>円</t>
        </is>
      </c>
      <c r="D30" t="inlineStr">
        <is>
          <t>★この金額以下で仕入れる</t>
        </is>
      </c>
    </row>
    <row r="31">
      <c r="A31" s="2" t="inlineStr">
        <is>
          <t>要求される掛け率</t>
        </is>
      </c>
      <c r="B31" s="11">
        <f>B30/B4</f>
        <v/>
      </c>
      <c r="C31" t="inlineStr"/>
      <c r="D31" t="inlineStr">
        <is>
          <t>仕入れ上限÷売価。50%未満は卸で買うのが難しい</t>
        </is>
      </c>
    </row>
    <row r="33">
      <c r="A33" s="2" t="inlineStr">
        <is>
          <t>③ 検算（実際の卸値を入れる）</t>
        </is>
      </c>
    </row>
    <row r="34">
      <c r="A34" t="inlineStr">
        <is>
          <t>⑯ 実際の仕入れ値（税込）</t>
        </is>
      </c>
      <c r="B34" s="3" t="n">
        <v>900</v>
      </c>
      <c r="C34" t="inlineStr">
        <is>
          <t>円</t>
        </is>
      </c>
      <c r="D34" t="inlineStr">
        <is>
          <t>NETSEA卸値（税抜）×1.1</t>
        </is>
      </c>
    </row>
    <row r="35">
      <c r="A35" t="inlineStr">
        <is>
          <t>返品引当</t>
        </is>
      </c>
      <c r="B35" s="9">
        <f>B17*(B7+B25+B34*0.5)</f>
        <v/>
      </c>
      <c r="C35" t="inlineStr">
        <is>
          <t>円</t>
        </is>
      </c>
      <c r="D35" t="inlineStr"/>
    </row>
    <row r="36">
      <c r="A36" s="2" t="inlineStr">
        <is>
          <t>純利益</t>
        </is>
      </c>
      <c r="B36" s="10">
        <f>B4-B27-B35-B34</f>
        <v/>
      </c>
      <c r="C36" t="inlineStr">
        <is>
          <t>円</t>
        </is>
      </c>
      <c r="D36" t="inlineStr"/>
    </row>
    <row r="37">
      <c r="A37" s="2" t="inlineStr">
        <is>
          <t>利益率</t>
        </is>
      </c>
      <c r="B37" s="11">
        <f>B36/B4</f>
        <v/>
      </c>
      <c r="C37" t="inlineStr"/>
      <c r="D37" t="inlineStr"/>
    </row>
    <row r="38">
      <c r="A38" t="inlineStr">
        <is>
          <t>ROI</t>
        </is>
      </c>
      <c r="B38" s="12">
        <f>B36/(B34+B23+B24+B12)</f>
        <v/>
      </c>
      <c r="C38" t="inlineStr"/>
      <c r="D38" t="inlineStr">
        <is>
          <t>純利益÷投下原価</t>
        </is>
      </c>
    </row>
    <row r="39">
      <c r="A39" s="2" t="inlineStr">
        <is>
          <t>判定</t>
        </is>
      </c>
      <c r="B39" s="13">
        <f>IF(B36&lt;=0,"赤字",IF(B37&gt;=B18,"目標達成","黒字だが目標未達"))</f>
        <v/>
      </c>
      <c r="C39" t="inlineStr"/>
      <c r="D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14" t="inlineStr">
        <is>
          <t>SKU</t>
        </is>
      </c>
      <c r="B1" s="14" t="inlineStr">
        <is>
          <t>商品名/ASIN</t>
        </is>
      </c>
      <c r="C1" s="14" t="inlineStr">
        <is>
          <t>Amazon売価(税込)</t>
        </is>
      </c>
      <c r="D1" s="14" t="inlineStr">
        <is>
          <t>販売手数料率</t>
        </is>
      </c>
      <c r="E1" s="14" t="inlineStr">
        <is>
          <t>FBA配送代行</t>
        </is>
      </c>
      <c r="F1" s="14" t="inlineStr">
        <is>
          <t>体積cm³</t>
        </is>
      </c>
      <c r="G1" s="14" t="inlineStr">
        <is>
          <t>仕入れ値(税込)</t>
        </is>
      </c>
      <c r="H1" s="14" t="inlineStr">
        <is>
          <t>仕入れ個数</t>
        </is>
      </c>
      <c r="I1" s="14" t="inlineStr">
        <is>
          <t>販売手数料(税込)</t>
        </is>
      </c>
      <c r="J1" s="14" t="inlineStr">
        <is>
          <t>保管料</t>
        </is>
      </c>
      <c r="K1" s="14" t="inlineStr">
        <is>
          <t>基本成約料</t>
        </is>
      </c>
      <c r="L1" s="14" t="inlineStr">
        <is>
          <t>納品代行</t>
        </is>
      </c>
      <c r="M1" s="14" t="inlineStr">
        <is>
          <t>納品送料</t>
        </is>
      </c>
      <c r="N1" s="14" t="inlineStr">
        <is>
          <t>卸送料/点</t>
        </is>
      </c>
      <c r="O1" s="14" t="inlineStr">
        <is>
          <t>返品引当</t>
        </is>
      </c>
      <c r="P1" s="14" t="inlineStr">
        <is>
          <t>純利益/点</t>
        </is>
      </c>
      <c r="Q1" s="14" t="inlineStr">
        <is>
          <t>利益率</t>
        </is>
      </c>
      <c r="R1" s="14" t="inlineStr">
        <is>
          <t>SKU利益合計</t>
        </is>
      </c>
      <c r="S1" s="14" t="inlineStr">
        <is>
          <t>投下額</t>
        </is>
      </c>
    </row>
    <row r="2">
      <c r="A2" t="inlineStr">
        <is>
          <t>SKU1</t>
        </is>
      </c>
      <c r="C2" s="15" t="n"/>
      <c r="D2" s="16" t="n">
        <v>0.104</v>
      </c>
      <c r="E2" s="15" t="n">
        <v>318</v>
      </c>
      <c r="F2" s="15" t="n">
        <v>2000</v>
      </c>
      <c r="G2" s="15" t="n"/>
      <c r="H2" s="15" t="n"/>
      <c r="I2" s="17">
        <f>IF($C2="","",MAX($C2*$D2,30)*1.1)</f>
        <v/>
      </c>
      <c r="J2" s="18">
        <f>IF($C2="","",$F2/1000*10.087*1.5)</f>
        <v/>
      </c>
      <c r="K2">
        <f>IF($C2="","",110)</f>
        <v/>
      </c>
      <c r="L2">
        <f>IF($C2="","",12)</f>
        <v/>
      </c>
      <c r="M2" s="18">
        <f>IF($C2="","",750/20)</f>
        <v/>
      </c>
      <c r="N2">
        <f>IF($C2="","",0)</f>
        <v/>
      </c>
      <c r="O2" s="18">
        <f>IF($C2="","",0.03*($E2+MIN(500,MAX($C2*$D2,30)*0.1)+$G2*0.5))</f>
        <v/>
      </c>
      <c r="P2" s="19">
        <f>IF($C2="","",$C2-$E2-SUM($I2:$O2)-$G2)</f>
        <v/>
      </c>
      <c r="Q2" s="20">
        <f>IF($C2="","",$P2/$C2)</f>
        <v/>
      </c>
      <c r="R2" s="17">
        <f>IF($C2="","",$P2*$H2)</f>
        <v/>
      </c>
      <c r="S2" s="17">
        <f>IF($C2="","",$G2*$H2)</f>
        <v/>
      </c>
    </row>
    <row r="3">
      <c r="A3" t="inlineStr">
        <is>
          <t>SKU2</t>
        </is>
      </c>
      <c r="C3" s="15" t="n"/>
      <c r="D3" s="16" t="n">
        <v>0.104</v>
      </c>
      <c r="E3" s="15" t="n">
        <v>318</v>
      </c>
      <c r="F3" s="15" t="n">
        <v>2000</v>
      </c>
      <c r="G3" s="15" t="n"/>
      <c r="H3" s="15" t="n"/>
      <c r="I3" s="17">
        <f>IF($C3="","",MAX($C3*$D3,30)*1.1)</f>
        <v/>
      </c>
      <c r="J3" s="18">
        <f>IF($C3="","",$F3/1000*10.087*1.5)</f>
        <v/>
      </c>
      <c r="K3">
        <f>IF($C3="","",110)</f>
        <v/>
      </c>
      <c r="L3">
        <f>IF($C3="","",12)</f>
        <v/>
      </c>
      <c r="M3" s="18">
        <f>IF($C3="","",750/20)</f>
        <v/>
      </c>
      <c r="N3">
        <f>IF($C3="","",0)</f>
        <v/>
      </c>
      <c r="O3" s="18">
        <f>IF($C3="","",0.03*($E3+MIN(500,MAX($C3*$D3,30)*0.1)+$G3*0.5))</f>
        <v/>
      </c>
      <c r="P3" s="19">
        <f>IF($C3="","",$C3-$E3-SUM($I3:$O3)-$G3)</f>
        <v/>
      </c>
      <c r="Q3" s="20">
        <f>IF($C3="","",$P3/$C3)</f>
        <v/>
      </c>
      <c r="R3" s="17">
        <f>IF($C3="","",$P3*$H3)</f>
        <v/>
      </c>
      <c r="S3" s="17">
        <f>IF($C3="","",$G3*$H3)</f>
        <v/>
      </c>
    </row>
    <row r="4">
      <c r="A4" t="inlineStr">
        <is>
          <t>SKU3</t>
        </is>
      </c>
      <c r="C4" s="15" t="n"/>
      <c r="D4" s="16" t="n">
        <v>0.104</v>
      </c>
      <c r="E4" s="15" t="n">
        <v>318</v>
      </c>
      <c r="F4" s="15" t="n">
        <v>2000</v>
      </c>
      <c r="G4" s="15" t="n"/>
      <c r="H4" s="15" t="n"/>
      <c r="I4" s="17">
        <f>IF($C4="","",MAX($C4*$D4,30)*1.1)</f>
        <v/>
      </c>
      <c r="J4" s="18">
        <f>IF($C4="","",$F4/1000*10.087*1.5)</f>
        <v/>
      </c>
      <c r="K4">
        <f>IF($C4="","",110)</f>
        <v/>
      </c>
      <c r="L4">
        <f>IF($C4="","",12)</f>
        <v/>
      </c>
      <c r="M4" s="18">
        <f>IF($C4="","",750/20)</f>
        <v/>
      </c>
      <c r="N4">
        <f>IF($C4="","",0)</f>
        <v/>
      </c>
      <c r="O4" s="18">
        <f>IF($C4="","",0.03*($E4+MIN(500,MAX($C4*$D4,30)*0.1)+$G4*0.5))</f>
        <v/>
      </c>
      <c r="P4" s="19">
        <f>IF($C4="","",$C4-$E4-SUM($I4:$O4)-$G4)</f>
        <v/>
      </c>
      <c r="Q4" s="20">
        <f>IF($C4="","",$P4/$C4)</f>
        <v/>
      </c>
      <c r="R4" s="17">
        <f>IF($C4="","",$P4*$H4)</f>
        <v/>
      </c>
      <c r="S4" s="17">
        <f>IF($C4="","",$G4*$H4)</f>
        <v/>
      </c>
    </row>
    <row r="5">
      <c r="A5" t="inlineStr">
        <is>
          <t>SKU4</t>
        </is>
      </c>
      <c r="C5" s="15" t="n"/>
      <c r="D5" s="16" t="n">
        <v>0.104</v>
      </c>
      <c r="E5" s="15" t="n">
        <v>318</v>
      </c>
      <c r="F5" s="15" t="n">
        <v>2000</v>
      </c>
      <c r="G5" s="15" t="n"/>
      <c r="H5" s="15" t="n"/>
      <c r="I5" s="17">
        <f>IF($C5="","",MAX($C5*$D5,30)*1.1)</f>
        <v/>
      </c>
      <c r="J5" s="18">
        <f>IF($C5="","",$F5/1000*10.087*1.5)</f>
        <v/>
      </c>
      <c r="K5">
        <f>IF($C5="","",110)</f>
        <v/>
      </c>
      <c r="L5">
        <f>IF($C5="","",12)</f>
        <v/>
      </c>
      <c r="M5" s="18">
        <f>IF($C5="","",750/20)</f>
        <v/>
      </c>
      <c r="N5">
        <f>IF($C5="","",0)</f>
        <v/>
      </c>
      <c r="O5" s="18">
        <f>IF($C5="","",0.03*($E5+MIN(500,MAX($C5*$D5,30)*0.1)+$G5*0.5))</f>
        <v/>
      </c>
      <c r="P5" s="19">
        <f>IF($C5="","",$C5-$E5-SUM($I5:$O5)-$G5)</f>
        <v/>
      </c>
      <c r="Q5" s="20">
        <f>IF($C5="","",$P5/$C5)</f>
        <v/>
      </c>
      <c r="R5" s="17">
        <f>IF($C5="","",$P5*$H5)</f>
        <v/>
      </c>
      <c r="S5" s="17">
        <f>IF($C5="","",$G5*$H5)</f>
        <v/>
      </c>
    </row>
    <row r="6">
      <c r="A6" t="inlineStr">
        <is>
          <t>SKU5</t>
        </is>
      </c>
      <c r="C6" s="15" t="n"/>
      <c r="D6" s="16" t="n">
        <v>0.104</v>
      </c>
      <c r="E6" s="15" t="n">
        <v>318</v>
      </c>
      <c r="F6" s="15" t="n">
        <v>2000</v>
      </c>
      <c r="G6" s="15" t="n"/>
      <c r="H6" s="15" t="n"/>
      <c r="I6" s="17">
        <f>IF($C6="","",MAX($C6*$D6,30)*1.1)</f>
        <v/>
      </c>
      <c r="J6" s="18">
        <f>IF($C6="","",$F6/1000*10.087*1.5)</f>
        <v/>
      </c>
      <c r="K6">
        <f>IF($C6="","",110)</f>
        <v/>
      </c>
      <c r="L6">
        <f>IF($C6="","",12)</f>
        <v/>
      </c>
      <c r="M6" s="18">
        <f>IF($C6="","",750/20)</f>
        <v/>
      </c>
      <c r="N6">
        <f>IF($C6="","",0)</f>
        <v/>
      </c>
      <c r="O6" s="18">
        <f>IF($C6="","",0.03*($E6+MIN(500,MAX($C6*$D6,30)*0.1)+$G6*0.5))</f>
        <v/>
      </c>
      <c r="P6" s="19">
        <f>IF($C6="","",$C6-$E6-SUM($I6:$O6)-$G6)</f>
        <v/>
      </c>
      <c r="Q6" s="20">
        <f>IF($C6="","",$P6/$C6)</f>
        <v/>
      </c>
      <c r="R6" s="17">
        <f>IF($C6="","",$P6*$H6)</f>
        <v/>
      </c>
      <c r="S6" s="17">
        <f>IF($C6="","",$G6*$H6)</f>
        <v/>
      </c>
    </row>
    <row r="7">
      <c r="A7" t="inlineStr">
        <is>
          <t>SKU6</t>
        </is>
      </c>
      <c r="C7" s="15" t="n"/>
      <c r="D7" s="16" t="n">
        <v>0.104</v>
      </c>
      <c r="E7" s="15" t="n">
        <v>318</v>
      </c>
      <c r="F7" s="15" t="n">
        <v>2000</v>
      </c>
      <c r="G7" s="15" t="n"/>
      <c r="H7" s="15" t="n"/>
      <c r="I7" s="17">
        <f>IF($C7="","",MAX($C7*$D7,30)*1.1)</f>
        <v/>
      </c>
      <c r="J7" s="18">
        <f>IF($C7="","",$F7/1000*10.087*1.5)</f>
        <v/>
      </c>
      <c r="K7">
        <f>IF($C7="","",110)</f>
        <v/>
      </c>
      <c r="L7">
        <f>IF($C7="","",12)</f>
        <v/>
      </c>
      <c r="M7" s="18">
        <f>IF($C7="","",750/20)</f>
        <v/>
      </c>
      <c r="N7">
        <f>IF($C7="","",0)</f>
        <v/>
      </c>
      <c r="O7" s="18">
        <f>IF($C7="","",0.03*($E7+MIN(500,MAX($C7*$D7,30)*0.1)+$G7*0.5))</f>
        <v/>
      </c>
      <c r="P7" s="19">
        <f>IF($C7="","",$C7-$E7-SUM($I7:$O7)-$G7)</f>
        <v/>
      </c>
      <c r="Q7" s="20">
        <f>IF($C7="","",$P7/$C7)</f>
        <v/>
      </c>
      <c r="R7" s="17">
        <f>IF($C7="","",$P7*$H7)</f>
        <v/>
      </c>
      <c r="S7" s="17">
        <f>IF($C7="","",$G7*$H7)</f>
        <v/>
      </c>
    </row>
    <row r="8">
      <c r="A8" t="inlineStr">
        <is>
          <t>SKU7</t>
        </is>
      </c>
      <c r="C8" s="15" t="n"/>
      <c r="D8" s="16" t="n">
        <v>0.104</v>
      </c>
      <c r="E8" s="15" t="n">
        <v>318</v>
      </c>
      <c r="F8" s="15" t="n">
        <v>2000</v>
      </c>
      <c r="G8" s="15" t="n"/>
      <c r="H8" s="15" t="n"/>
      <c r="I8" s="17">
        <f>IF($C8="","",MAX($C8*$D8,30)*1.1)</f>
        <v/>
      </c>
      <c r="J8" s="18">
        <f>IF($C8="","",$F8/1000*10.087*1.5)</f>
        <v/>
      </c>
      <c r="K8">
        <f>IF($C8="","",110)</f>
        <v/>
      </c>
      <c r="L8">
        <f>IF($C8="","",12)</f>
        <v/>
      </c>
      <c r="M8" s="18">
        <f>IF($C8="","",750/20)</f>
        <v/>
      </c>
      <c r="N8">
        <f>IF($C8="","",0)</f>
        <v/>
      </c>
      <c r="O8" s="18">
        <f>IF($C8="","",0.03*($E8+MIN(500,MAX($C8*$D8,30)*0.1)+$G8*0.5))</f>
        <v/>
      </c>
      <c r="P8" s="19">
        <f>IF($C8="","",$C8-$E8-SUM($I8:$O8)-$G8)</f>
        <v/>
      </c>
      <c r="Q8" s="20">
        <f>IF($C8="","",$P8/$C8)</f>
        <v/>
      </c>
      <c r="R8" s="17">
        <f>IF($C8="","",$P8*$H8)</f>
        <v/>
      </c>
      <c r="S8" s="17">
        <f>IF($C8="","",$G8*$H8)</f>
        <v/>
      </c>
    </row>
    <row r="9">
      <c r="A9" t="inlineStr">
        <is>
          <t>SKU8</t>
        </is>
      </c>
      <c r="C9" s="15" t="n"/>
      <c r="D9" s="16" t="n">
        <v>0.104</v>
      </c>
      <c r="E9" s="15" t="n">
        <v>318</v>
      </c>
      <c r="F9" s="15" t="n">
        <v>2000</v>
      </c>
      <c r="G9" s="15" t="n"/>
      <c r="H9" s="15" t="n"/>
      <c r="I9" s="17">
        <f>IF($C9="","",MAX($C9*$D9,30)*1.1)</f>
        <v/>
      </c>
      <c r="J9" s="18">
        <f>IF($C9="","",$F9/1000*10.087*1.5)</f>
        <v/>
      </c>
      <c r="K9">
        <f>IF($C9="","",110)</f>
        <v/>
      </c>
      <c r="L9">
        <f>IF($C9="","",12)</f>
        <v/>
      </c>
      <c r="M9" s="18">
        <f>IF($C9="","",750/20)</f>
        <v/>
      </c>
      <c r="N9">
        <f>IF($C9="","",0)</f>
        <v/>
      </c>
      <c r="O9" s="18">
        <f>IF($C9="","",0.03*($E9+MIN(500,MAX($C9*$D9,30)*0.1)+$G9*0.5))</f>
        <v/>
      </c>
      <c r="P9" s="19">
        <f>IF($C9="","",$C9-$E9-SUM($I9:$O9)-$G9)</f>
        <v/>
      </c>
      <c r="Q9" s="20">
        <f>IF($C9="","",$P9/$C9)</f>
        <v/>
      </c>
      <c r="R9" s="17">
        <f>IF($C9="","",$P9*$H9)</f>
        <v/>
      </c>
      <c r="S9" s="17">
        <f>IF($C9="","",$G9*$H9)</f>
        <v/>
      </c>
    </row>
    <row r="10">
      <c r="A10" t="inlineStr">
        <is>
          <t>SKU9</t>
        </is>
      </c>
      <c r="C10" s="15" t="n"/>
      <c r="D10" s="16" t="n">
        <v>0.104</v>
      </c>
      <c r="E10" s="15" t="n">
        <v>318</v>
      </c>
      <c r="F10" s="15" t="n">
        <v>2000</v>
      </c>
      <c r="G10" s="15" t="n"/>
      <c r="H10" s="15" t="n"/>
      <c r="I10" s="17">
        <f>IF($C10="","",MAX($C10*$D10,30)*1.1)</f>
        <v/>
      </c>
      <c r="J10" s="18">
        <f>IF($C10="","",$F10/1000*10.087*1.5)</f>
        <v/>
      </c>
      <c r="K10">
        <f>IF($C10="","",110)</f>
        <v/>
      </c>
      <c r="L10">
        <f>IF($C10="","",12)</f>
        <v/>
      </c>
      <c r="M10" s="18">
        <f>IF($C10="","",750/20)</f>
        <v/>
      </c>
      <c r="N10">
        <f>IF($C10="","",0)</f>
        <v/>
      </c>
      <c r="O10" s="18">
        <f>IF($C10="","",0.03*($E10+MIN(500,MAX($C10*$D10,30)*0.1)+$G10*0.5))</f>
        <v/>
      </c>
      <c r="P10" s="19">
        <f>IF($C10="","",$C10-$E10-SUM($I10:$O10)-$G10)</f>
        <v/>
      </c>
      <c r="Q10" s="20">
        <f>IF($C10="","",$P10/$C10)</f>
        <v/>
      </c>
      <c r="R10" s="17">
        <f>IF($C10="","",$P10*$H10)</f>
        <v/>
      </c>
      <c r="S10" s="17">
        <f>IF($C10="","",$G10*$H10)</f>
        <v/>
      </c>
    </row>
    <row r="11">
      <c r="A11" t="inlineStr">
        <is>
          <t>SKU10</t>
        </is>
      </c>
      <c r="C11" s="15" t="n"/>
      <c r="D11" s="16" t="n">
        <v>0.104</v>
      </c>
      <c r="E11" s="15" t="n">
        <v>318</v>
      </c>
      <c r="F11" s="15" t="n">
        <v>2000</v>
      </c>
      <c r="G11" s="15" t="n"/>
      <c r="H11" s="15" t="n"/>
      <c r="I11" s="17">
        <f>IF($C11="","",MAX($C11*$D11,30)*1.1)</f>
        <v/>
      </c>
      <c r="J11" s="18">
        <f>IF($C11="","",$F11/1000*10.087*1.5)</f>
        <v/>
      </c>
      <c r="K11">
        <f>IF($C11="","",110)</f>
        <v/>
      </c>
      <c r="L11">
        <f>IF($C11="","",12)</f>
        <v/>
      </c>
      <c r="M11" s="18">
        <f>IF($C11="","",750/20)</f>
        <v/>
      </c>
      <c r="N11">
        <f>IF($C11="","",0)</f>
        <v/>
      </c>
      <c r="O11" s="18">
        <f>IF($C11="","",0.03*($E11+MIN(500,MAX($C11*$D11,30)*0.1)+$G11*0.5))</f>
        <v/>
      </c>
      <c r="P11" s="19">
        <f>IF($C11="","",$C11-$E11-SUM($I11:$O11)-$G11)</f>
        <v/>
      </c>
      <c r="Q11" s="20">
        <f>IF($C11="","",$P11/$C11)</f>
        <v/>
      </c>
      <c r="R11" s="17">
        <f>IF($C11="","",$P11*$H11)</f>
        <v/>
      </c>
      <c r="S11" s="17">
        <f>IF($C11="","",$G11*$H11)</f>
        <v/>
      </c>
    </row>
    <row r="13">
      <c r="A13" s="2" t="inlineStr">
        <is>
          <t>合計</t>
        </is>
      </c>
      <c r="R13" s="21">
        <f>SUM(R2:R11)</f>
        <v/>
      </c>
      <c r="S13" s="21">
        <f>SUM(S2:S11)</f>
        <v/>
      </c>
    </row>
    <row r="14">
      <c r="A14" s="22" t="inlineStr">
        <is>
          <t>※ 投下額の合計が 50,000円（予算）を超えていないか必ず確認すること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22" customWidth="1" min="3" max="3"/>
    <col width="10" customWidth="1" min="4" max="4"/>
    <col width="70" customWidth="1" min="5" max="5"/>
  </cols>
  <sheetData>
    <row r="1">
      <c r="A1" s="23" t="inlineStr">
        <is>
          <t>費目</t>
        </is>
      </c>
      <c r="B1" s="23" t="inlineStr">
        <is>
          <t>値</t>
        </is>
      </c>
      <c r="C1" s="23" t="inlineStr">
        <is>
          <t>単位</t>
        </is>
      </c>
      <c r="D1" s="23" t="inlineStr">
        <is>
          <t>確度</t>
        </is>
      </c>
      <c r="E1" s="23" t="inlineStr">
        <is>
          <t>出典</t>
        </is>
      </c>
    </row>
    <row r="2">
      <c r="A2" t="inlineStr">
        <is>
          <t>Amazon販売手数料率</t>
        </is>
      </c>
      <c r="B2" t="inlineStr">
        <is>
          <t>0.104</t>
        </is>
      </c>
      <c r="C2" t="inlineStr">
        <is>
          <t>率(売価に対して)</t>
        </is>
      </c>
      <c r="D2" t="inlineStr">
        <is>
          <t>実測</t>
        </is>
      </c>
      <c r="E2" t="inlineStr">
        <is>
          <t>https://sell.amazon.co.jp/pricing</t>
        </is>
      </c>
    </row>
    <row r="3">
      <c r="A3" t="inlineStr">
        <is>
          <t>販売手数料にかかる消費税</t>
        </is>
      </c>
      <c r="B3" t="inlineStr">
        <is>
          <t>1.1</t>
        </is>
      </c>
      <c r="C3" t="inlineStr">
        <is>
          <t>倍率</t>
        </is>
      </c>
      <c r="D3" t="inlineStr">
        <is>
          <t>二次情報</t>
        </is>
      </c>
      <c r="E3" t="inlineStr">
        <is>
          <t>https://brandbuppan.jp/amazon-selling-fee-tax/ ／ https://wise.com/jp/blog/amazon-seller-fees</t>
        </is>
      </c>
    </row>
    <row r="4">
      <c r="A4" t="inlineStr">
        <is>
          <t>小口プラン 基本成約料（税抜）</t>
        </is>
      </c>
      <c r="B4" t="inlineStr">
        <is>
          <t>100</t>
        </is>
      </c>
      <c r="C4" t="inlineStr">
        <is>
          <t>円/点</t>
        </is>
      </c>
      <c r="D4" t="inlineStr">
        <is>
          <t>実測</t>
        </is>
      </c>
      <c r="E4" t="inlineStr">
        <is>
          <t>https://sell.amazon.co.jp/pricing</t>
        </is>
      </c>
    </row>
    <row r="5">
      <c r="A5" t="inlineStr">
        <is>
          <t>小口プラン 基本成約料（税込・計算に使う値）</t>
        </is>
      </c>
      <c r="B5" t="inlineStr">
        <is>
          <t>110</t>
        </is>
      </c>
      <c r="C5" t="inlineStr">
        <is>
          <t>円/点</t>
        </is>
      </c>
      <c r="D5" t="inlineStr">
        <is>
          <t>推定</t>
        </is>
      </c>
      <c r="E5" t="inlineStr">
        <is>
          <t>https://www.theckb.com/archive/small-cansell/</t>
        </is>
      </c>
    </row>
    <row r="6">
      <c r="A6" t="inlineStr">
        <is>
          <t>カテゴリー成約料（メディアのみ）</t>
        </is>
      </c>
      <c r="B6" t="inlineStr">
        <is>
          <t>140</t>
        </is>
      </c>
      <c r="C6" t="inlineStr">
        <is>
          <t>円/点</t>
        </is>
      </c>
      <c r="D6" t="inlineStr">
        <is>
          <t>二次情報</t>
        </is>
      </c>
      <c r="E6" t="inlineStr">
        <is>
          <t>https://ecstarslab.com/blog/fba-tesuuryo/</t>
        </is>
      </c>
    </row>
    <row r="7">
      <c r="A7" t="inlineStr">
        <is>
          <t>FBA配送代行手数料 標準1（売価1,000円超・税込）</t>
        </is>
      </c>
      <c r="B7" t="inlineStr">
        <is>
          <t>318</t>
        </is>
      </c>
      <c r="C7" t="inlineStr">
        <is>
          <t>円/点</t>
        </is>
      </c>
      <c r="D7" t="inlineStr">
        <is>
          <t>二次情報</t>
        </is>
      </c>
      <c r="E7" t="inlineStr">
        <is>
          <t>https://sell.amazon.co.jp/pricing ／ calc/fees.py (T-20260817-005で2026年8月に検証)</t>
        </is>
      </c>
    </row>
    <row r="8">
      <c r="A8" t="inlineStr">
        <is>
          <t>売価1,000円以下のFBA配送代行手数料引き下げ</t>
        </is>
      </c>
      <c r="B8" t="inlineStr">
        <is>
          <t>-66</t>
        </is>
      </c>
      <c r="C8" t="inlineStr">
        <is>
          <t>円/点</t>
        </is>
      </c>
      <c r="D8" t="inlineStr">
        <is>
          <t>二次情報</t>
        </is>
      </c>
      <c r="E8" t="inlineStr">
        <is>
          <t>https://netshop.impress.co.jp/node/11874</t>
        </is>
      </c>
    </row>
    <row r="9">
      <c r="A9" t="inlineStr">
        <is>
          <t>FBA在庫保管手数料（通常期1〜9月・小型/標準）</t>
        </is>
      </c>
      <c r="B9" t="inlineStr">
        <is>
          <t>5.676</t>
        </is>
      </c>
      <c r="C9" t="inlineStr">
        <is>
          <t>円/1,000cm³/月(税込)</t>
        </is>
      </c>
      <c r="D9" t="inlineStr">
        <is>
          <t>二次情報</t>
        </is>
      </c>
      <c r="E9" t="inlineStr">
        <is>
          <t>https://ecstarslab.com/blog/fba-tesuuryo/ ／ calc/fees.py</t>
        </is>
      </c>
    </row>
    <row r="10">
      <c r="A10" t="inlineStr">
        <is>
          <t>FBA在庫保管手数料（繁忙期10〜12月・小型/標準）</t>
        </is>
      </c>
      <c r="B10" t="inlineStr">
        <is>
          <t>10.087</t>
        </is>
      </c>
      <c r="C10" t="inlineStr">
        <is>
          <t>円/1,000cm³/月(税込)</t>
        </is>
      </c>
      <c r="D10" t="inlineStr">
        <is>
          <t>二次情報</t>
        </is>
      </c>
      <c r="E10" t="inlineStr">
        <is>
          <t>同上</t>
        </is>
      </c>
    </row>
    <row r="11">
      <c r="A11" t="inlineStr">
        <is>
          <t>保管月数（計算に使う値）</t>
        </is>
      </c>
      <c r="B11" t="inlineStr">
        <is>
          <t>1.5</t>
        </is>
      </c>
      <c r="C11" t="inlineStr">
        <is>
          <t>ヶ月</t>
        </is>
      </c>
      <c r="D11" t="inlineStr">
        <is>
          <t>推定</t>
        </is>
      </c>
      <c r="E11" t="inlineStr">
        <is>
          <t>社内算定（T-20260904-004 / 経理ハジメ）</t>
        </is>
      </c>
    </row>
    <row r="12">
      <c r="A12" t="inlineStr">
        <is>
          <t>繁忙期レートを使うか</t>
        </is>
      </c>
      <c r="B12" t="inlineStr">
        <is>
          <t>True</t>
        </is>
      </c>
      <c r="C12" t="inlineStr">
        <is>
          <t>真偽</t>
        </is>
      </c>
      <c r="D12" t="inlineStr">
        <is>
          <t>推定</t>
        </is>
      </c>
      <c r="E12" t="inlineStr">
        <is>
          <t>社内算定</t>
        </is>
      </c>
    </row>
    <row r="13">
      <c r="A13" t="inlineStr">
        <is>
          <t>長期在庫最低手数料（365日超）</t>
        </is>
      </c>
      <c r="B13" t="inlineStr">
        <is>
          <t>20</t>
        </is>
      </c>
      <c r="C13" t="inlineStr">
        <is>
          <t>円/点/月</t>
        </is>
      </c>
      <c r="D13" t="inlineStr">
        <is>
          <t>二次情報</t>
        </is>
      </c>
      <c r="E13" t="inlineStr">
        <is>
          <t>https://www.cyber-records.co.jp/amazon-fba-long-term-storage-fee/</t>
        </is>
      </c>
    </row>
    <row r="14">
      <c r="A14" t="inlineStr">
        <is>
          <t>低在庫レベル手数料</t>
        </is>
      </c>
      <c r="B14" t="inlineStr"/>
      <c r="C14" t="inlineStr">
        <is>
          <t>円/点</t>
        </is>
      </c>
      <c r="D14" t="inlineStr">
        <is>
          <t>未確認</t>
        </is>
      </c>
      <c r="E14" t="inlineStr">
        <is>
          <t>https://sellercentral.amazon.co.jp/help/hub/reference/external/GV43F6S76Y9DHYRH?locale=ja-JP</t>
        </is>
      </c>
    </row>
    <row r="15">
      <c r="A15" t="inlineStr">
        <is>
          <t>NETSEA送料がAPIで取得できた商品の割合</t>
        </is>
      </c>
      <c r="B15" t="inlineStr">
        <is>
          <t>0.0037</t>
        </is>
      </c>
      <c r="C15" t="inlineStr">
        <is>
          <t>率</t>
        </is>
      </c>
      <c r="D15" t="inlineStr">
        <is>
          <t>実測</t>
        </is>
      </c>
      <c r="E15" t="inlineStr">
        <is>
          <t>workspace/output/deliverables/T-20260831-006/out/netsea_items.jsonl 全257,067件を集計（2026-09-04）</t>
        </is>
      </c>
    </row>
    <row r="16">
      <c r="A16" t="inlineStr">
        <is>
          <t>NETSEA送料（取得できた951件の中央値）</t>
        </is>
      </c>
      <c r="B16" t="inlineStr">
        <is>
          <t>1500</t>
        </is>
      </c>
      <c r="C16" t="inlineStr">
        <is>
          <t>円/発注</t>
        </is>
      </c>
      <c r="D16" t="inlineStr">
        <is>
          <t>実測</t>
        </is>
      </c>
      <c r="E16" t="inlineStr">
        <is>
          <t>同上</t>
        </is>
      </c>
    </row>
    <row r="17">
      <c r="A17" t="inlineStr">
        <is>
          <t>NETSEA 送料無料ライン（/tariffs 実データ）</t>
        </is>
      </c>
      <c r="B17" t="inlineStr">
        <is>
          <t>20000</t>
        </is>
      </c>
      <c r="C17" t="inlineStr">
        <is>
          <t>円/発注</t>
        </is>
      </c>
      <c r="D17" t="inlineStr">
        <is>
          <t>実測</t>
        </is>
      </c>
      <c r="E17" t="inlineStr">
        <is>
          <t>workspace/output/deliverables/T-20260904-004/_tariffs_cache.json（ITタカシ取得・1社ぶん。社名/IDはPUBLICリポのため非掲載）</t>
        </is>
      </c>
    </row>
    <row r="18">
      <c r="A18" t="inlineStr">
        <is>
          <t>NETSEA 初回注文送料無料特集</t>
        </is>
      </c>
      <c r="B18" t="inlineStr">
        <is>
          <t>0</t>
        </is>
      </c>
      <c r="C18" t="inlineStr">
        <is>
          <t>円/発注</t>
        </is>
      </c>
      <c r="D18" t="inlineStr">
        <is>
          <t>実測</t>
        </is>
      </c>
      <c r="E18" t="inlineStr">
        <is>
          <t>https://www.netsea.jp/special/freeshipping</t>
        </is>
      </c>
    </row>
    <row r="19">
      <c r="A19" t="inlineStr">
        <is>
          <t>FBA納品代行 作業費（資材込）</t>
        </is>
      </c>
      <c r="B19" t="inlineStr">
        <is>
          <t>12</t>
        </is>
      </c>
      <c r="C19" t="inlineStr">
        <is>
          <t>円/点</t>
        </is>
      </c>
      <c r="D19" t="inlineStr">
        <is>
          <t>実測</t>
        </is>
      </c>
      <c r="E19" t="inlineStr">
        <is>
          <t>https://e-fba.com/ （公開料金表・単品商品 通常12円・大型25円・月額0円）</t>
        </is>
      </c>
    </row>
    <row r="20">
      <c r="A20" t="inlineStr">
        <is>
          <t>納品代行→FBA 配送料（140サイズ）</t>
        </is>
      </c>
      <c r="B20" t="inlineStr">
        <is>
          <t>750</t>
        </is>
      </c>
      <c r="C20" t="inlineStr">
        <is>
          <t>円/箱</t>
        </is>
      </c>
      <c r="D20" t="inlineStr">
        <is>
          <t>実測</t>
        </is>
      </c>
      <c r="E20" t="inlineStr">
        <is>
          <t>https://e-fba.com/ （140サイズ750円〜・160サイズ860円〜）</t>
        </is>
      </c>
    </row>
    <row r="21">
      <c r="A21" t="inlineStr">
        <is>
          <t>FBAパートナーキャリア ヤマト 140サイズ（関東→関東・税込）</t>
        </is>
      </c>
      <c r="B21" t="inlineStr">
        <is>
          <t>608</t>
        </is>
      </c>
      <c r="C21" t="inlineStr">
        <is>
          <t>円/箱</t>
        </is>
      </c>
      <c r="D21" t="inlineStr">
        <is>
          <t>実測</t>
        </is>
      </c>
      <c r="E21" t="inlineStr">
        <is>
          <t>https://business.kuronekoyamato.co.jp/promotion/toAmazonseller2024/index.html</t>
        </is>
      </c>
    </row>
    <row r="22">
      <c r="A22" t="inlineStr">
        <is>
          <t>1箱あたりの収容個数（計算に使う値）</t>
        </is>
      </c>
      <c r="B22" t="inlineStr">
        <is>
          <t>20</t>
        </is>
      </c>
      <c r="C22" t="inlineStr">
        <is>
          <t>点/箱</t>
        </is>
      </c>
      <c r="D22" t="inlineStr">
        <is>
          <t>推定</t>
        </is>
      </c>
      <c r="E22" t="inlineStr">
        <is>
          <t>社内算定</t>
        </is>
      </c>
    </row>
    <row r="23">
      <c r="A23" t="inlineStr">
        <is>
          <t>納品送料（1点あたり・計算に使う値）</t>
        </is>
      </c>
      <c r="B23" t="inlineStr">
        <is>
          <t>37.5</t>
        </is>
      </c>
      <c r="C23" t="inlineStr">
        <is>
          <t>円/点</t>
        </is>
      </c>
      <c r="D23" t="inlineStr">
        <is>
          <t>推定</t>
        </is>
      </c>
      <c r="E23" t="inlineStr">
        <is>
          <t>社内算定（prep_to_fba_shipping_box ÷ units_per_box）</t>
        </is>
      </c>
    </row>
    <row r="24">
      <c r="A24" t="inlineStr">
        <is>
          <t>雑費（売価の3%）</t>
        </is>
      </c>
      <c r="B24" t="inlineStr"/>
      <c r="C24" t="inlineStr">
        <is>
          <t>率</t>
        </is>
      </c>
      <c r="D24" t="inlineStr">
        <is>
          <t>未確認</t>
        </is>
      </c>
      <c r="E24" t="inlineStr">
        <is>
          <t>—</t>
        </is>
      </c>
    </row>
    <row r="25">
      <c r="A25" t="inlineStr">
        <is>
          <t>返品率（引当に使う値）</t>
        </is>
      </c>
      <c r="B25" t="inlineStr">
        <is>
          <t>0.03</t>
        </is>
      </c>
      <c r="C25" t="inlineStr">
        <is>
          <t>率</t>
        </is>
      </c>
      <c r="D25" t="inlineStr">
        <is>
          <t>推定</t>
        </is>
      </c>
      <c r="E25" t="inlineStr">
        <is>
          <t>社内算定</t>
        </is>
      </c>
    </row>
    <row r="26">
      <c r="A26" t="inlineStr">
        <is>
          <t>返金処理手数料</t>
        </is>
      </c>
      <c r="B26" t="inlineStr"/>
      <c r="C26" t="inlineStr">
        <is>
          <t>円/件</t>
        </is>
      </c>
      <c r="D26" t="inlineStr">
        <is>
          <t>二次情報</t>
        </is>
      </c>
      <c r="E26" t="inlineStr">
        <is>
          <t>https://force-r.co.jp/column/column-28008/</t>
        </is>
      </c>
    </row>
    <row r="27">
      <c r="A27" t="inlineStr">
        <is>
          <t>FBA返送／所有権の放棄手数料</t>
        </is>
      </c>
      <c r="B27" t="inlineStr"/>
      <c r="C27" t="inlineStr">
        <is>
          <t>円/点</t>
        </is>
      </c>
      <c r="D27" t="inlineStr">
        <is>
          <t>二次情報</t>
        </is>
      </c>
      <c r="E27" t="inlineStr">
        <is>
          <t>https://sobani.co.jp/columnlist/amazon_return-disposal ／ https://ecstarslab.com/blog/fba-tesuuryo/</t>
        </is>
      </c>
    </row>
    <row r="28">
      <c r="A28" t="inlineStr">
        <is>
          <t>納品不備受領作業手数料</t>
        </is>
      </c>
      <c r="B28" t="inlineStr"/>
      <c r="C28" t="inlineStr">
        <is>
          <t>円/点</t>
        </is>
      </c>
      <c r="D28" t="inlineStr">
        <is>
          <t>二次情報</t>
        </is>
      </c>
      <c r="E28" t="inlineStr">
        <is>
          <t>https://ecstarslab.com/blog/fba-tesuuryo/</t>
        </is>
      </c>
    </row>
    <row r="29">
      <c r="A29" t="inlineStr">
        <is>
          <t>売上金の振込手数料</t>
        </is>
      </c>
      <c r="B29" t="inlineStr">
        <is>
          <t>0</t>
        </is>
      </c>
      <c r="C29" t="inlineStr">
        <is>
          <t>円/回</t>
        </is>
      </c>
      <c r="D29" t="inlineStr">
        <is>
          <t>二次情報</t>
        </is>
      </c>
      <c r="E29" t="inlineStr">
        <is>
          <t>https://sobani.co.jp/columnlist/amazon_provision</t>
        </is>
      </c>
    </row>
    <row r="30">
      <c r="A30" t="inlineStr">
        <is>
          <t>梱包資材費</t>
        </is>
      </c>
      <c r="B30" t="inlineStr">
        <is>
          <t>0</t>
        </is>
      </c>
      <c r="C30" t="inlineStr">
        <is>
          <t>円/点</t>
        </is>
      </c>
      <c r="D30" t="inlineStr">
        <is>
          <t>実測</t>
        </is>
      </c>
      <c r="E30" t="inlineStr">
        <is>
          <t>https://e-fba.com/ （資材込み料金）</t>
        </is>
      </c>
    </row>
    <row r="31">
      <c r="A31" t="inlineStr">
        <is>
          <t>消費税の立場</t>
        </is>
      </c>
      <c r="B31" t="inlineStr"/>
      <c r="C31" t="inlineStr">
        <is>
          <t>—</t>
        </is>
      </c>
      <c r="D31" t="inlineStr">
        <is>
          <t>実測</t>
        </is>
      </c>
      <c r="E31" t="inlineStr">
        <is>
          <t>agents/accounting/memory/tax_invoice_menzei_seller.md（T-20260726-002）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2026-09-04T03:02:06Z</dcterms:created>
  <dcterms:modified xsi:type="dcterms:W3CDTF">2026-09-04T03:02:06Z</dcterms:modified>
</cp:coreProperties>
</file>